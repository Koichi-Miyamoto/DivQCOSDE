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ich\Desktop\Code\DivQCOSDE\Result\"/>
    </mc:Choice>
  </mc:AlternateContent>
  <xr:revisionPtr revIDLastSave="0" documentId="13_ncr:1_{BBCD9892-118A-4A78-B00F-0BA924A7136A}" xr6:coauthVersionLast="47" xr6:coauthVersionMax="47" xr10:uidLastSave="{00000000-0000-0000-0000-000000000000}"/>
  <bookViews>
    <workbookView xWindow="2220" yWindow="1305" windowWidth="18390" windowHeight="9015" xr2:uid="{DDFBC754-980A-4BFD-AE2C-311ED991EAD0}"/>
  </bookViews>
  <sheets>
    <sheet name="RQAE_eps0=2^-10_R=12_deg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F72" i="1"/>
  <c r="F73" i="1"/>
  <c r="F74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2" i="1"/>
  <c r="K2" i="1"/>
  <c r="M2" i="1"/>
  <c r="N2" i="1"/>
  <c r="K3" i="1"/>
  <c r="L3" i="1"/>
  <c r="Q3" i="1" s="1"/>
  <c r="M3" i="1"/>
  <c r="N3" i="1"/>
  <c r="K4" i="1"/>
  <c r="L4" i="1"/>
  <c r="M4" i="1"/>
  <c r="N4" i="1"/>
  <c r="K5" i="1"/>
  <c r="L5" i="1"/>
  <c r="Q5" i="1" s="1"/>
  <c r="M5" i="1"/>
  <c r="N5" i="1"/>
  <c r="K6" i="1"/>
  <c r="L6" i="1"/>
  <c r="M6" i="1"/>
  <c r="N6" i="1"/>
  <c r="K7" i="1"/>
  <c r="M7" i="1"/>
  <c r="N7" i="1"/>
  <c r="K8" i="1"/>
  <c r="L8" i="1"/>
  <c r="M8" i="1"/>
  <c r="N8" i="1"/>
  <c r="K9" i="1"/>
  <c r="L9" i="1"/>
  <c r="Q9" i="1" s="1"/>
  <c r="M9" i="1"/>
  <c r="N9" i="1"/>
  <c r="L7" i="1" l="1"/>
  <c r="Q7" i="1" s="1"/>
  <c r="L2" i="1"/>
  <c r="Q2" i="1" s="1"/>
  <c r="Q8" i="1"/>
  <c r="Q6" i="1"/>
  <c r="Q4" i="1"/>
</calcChain>
</file>

<file path=xl/sharedStrings.xml><?xml version="1.0" encoding="utf-8"?>
<sst xmlns="http://schemas.openxmlformats.org/spreadsheetml/2006/main" count="15" uniqueCount="13">
  <si>
    <t>N</t>
  </si>
  <si>
    <t>pTrue</t>
  </si>
  <si>
    <t>eps</t>
  </si>
  <si>
    <t>pEst</t>
  </si>
  <si>
    <t>absErr</t>
  </si>
  <si>
    <t>totalQueryNum</t>
  </si>
  <si>
    <t>maxDepth</t>
  </si>
  <si>
    <t>errSq</t>
    <phoneticPr fontId="18"/>
  </si>
  <si>
    <t>absErrAve</t>
    <phoneticPr fontId="18"/>
  </si>
  <si>
    <t>RMSE</t>
    <phoneticPr fontId="18"/>
  </si>
  <si>
    <t>totalQueryNum</t>
    <phoneticPr fontId="18"/>
  </si>
  <si>
    <t>同じRMSEを達成するのに必要な古典モンテサンプル数</t>
    <rPh sb="0" eb="1">
      <t>オナ</t>
    </rPh>
    <rPh sb="7" eb="9">
      <t>タッセイ</t>
    </rPh>
    <rPh sb="13" eb="15">
      <t>ヒツヨウ</t>
    </rPh>
    <rPh sb="16" eb="18">
      <t>コテン</t>
    </rPh>
    <rPh sb="25" eb="26">
      <t>スウ</t>
    </rPh>
    <phoneticPr fontId="18"/>
  </si>
  <si>
    <t>RMSE=0.00035を達成するのに必要な古典モンテサンプル数</t>
    <rPh sb="13" eb="15">
      <t>タッセイ</t>
    </rPh>
    <rPh sb="19" eb="21">
      <t>ヒツヨウ</t>
    </rPh>
    <rPh sb="22" eb="24">
      <t>コテン</t>
    </rPh>
    <rPh sb="31" eb="32">
      <t>スウ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</si>
</sst>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"/>
    <numFmt numFmtId="177" formatCode="0.000000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1" fontId="0" fillId="0" borderId="0" xfId="0" applyNumberFormat="1">
      <alignment vertical="center"/>
    </xf>
    <xf numFmtId="176" fontId="0" fillId="0" borderId="0" xfId="0" applyNumberFormat="1">
      <alignment vertical="center"/>
    </xf>
    <xf numFmtId="38" fontId="0" fillId="0" borderId="0" xfId="1" applyFont="1">
      <alignment vertical="center"/>
    </xf>
    <xf numFmtId="1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3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メモ" xfId="16" builtinId="10" customBuiltin="1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桁区切り" xfId="1" builtinId="6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8" builtinId="25" customBuiltin="1"/>
    <cellStyle name="出力" xfId="11" builtinId="21" customBuiltin="1"/>
    <cellStyle name="説明文" xfId="17" builtinId="53" customBuiltin="1"/>
    <cellStyle name="入力" xfId="10" builtinId="20" customBuiltin="1"/>
    <cellStyle name="標準" xfId="0" builtinId="0"/>
    <cellStyle name="良い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'RQAE_eps0=2^-10_R=12_deg10'!$M$1</c:f>
              <c:strCache>
                <c:ptCount val="1"/>
                <c:pt idx="0">
                  <c:v>totalQueryNum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'RQAE_eps0=2^-10_R=12_deg10'!$J$2:$J$9</c:f>
              <c:numCache>
                <c:formatCode>General</c:formatCode>
                <c:ptCount val="8"/>
                <c:pt idx="0">
                  <c:v>8</c:v>
                </c:pt>
                <c:pt idx="1">
                  <c:v>11</c:v>
                </c:pt>
                <c:pt idx="2">
                  <c:v>16</c:v>
                </c:pt>
                <c:pt idx="3">
                  <c:v>22</c:v>
                </c:pt>
                <c:pt idx="4">
                  <c:v>32</c:v>
                </c:pt>
                <c:pt idx="5">
                  <c:v>45</c:v>
                </c:pt>
                <c:pt idx="6">
                  <c:v>64</c:v>
                </c:pt>
                <c:pt idx="7">
                  <c:v>90</c:v>
                </c:pt>
              </c:numCache>
            </c:numRef>
          </c:xVal>
          <c:yVal>
            <c:numRef>
              <c:f>'RQAE_eps0=2^-10_R=12_deg10'!$M$2:$M$9</c:f>
              <c:numCache>
                <c:formatCode>#,##0_);[Red]\(#,##0\)</c:formatCode>
                <c:ptCount val="8"/>
                <c:pt idx="0">
                  <c:v>5321681</c:v>
                </c:pt>
                <c:pt idx="1">
                  <c:v>7645243.222222222</c:v>
                </c:pt>
                <c:pt idx="2">
                  <c:v>11779151.666666666</c:v>
                </c:pt>
                <c:pt idx="3">
                  <c:v>27948286</c:v>
                </c:pt>
                <c:pt idx="4">
                  <c:v>42569841</c:v>
                </c:pt>
                <c:pt idx="5">
                  <c:v>62709525.777777776</c:v>
                </c:pt>
                <c:pt idx="6">
                  <c:v>94293841.777777776</c:v>
                </c:pt>
                <c:pt idx="7">
                  <c:v>229363286.8888889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08-452A-866C-3D6397DB0CDC}"/>
            </c:ext>
          </c:extLst>
        </c:ser>
        <c:ser>
          <c:idx val="2"/>
          <c:order val="1"/>
          <c:tx>
            <c:strRef>
              <c:f>'RQAE_eps0=2^-10_R=12_deg10'!$R$1</c:f>
              <c:strCache>
                <c:ptCount val="1"/>
                <c:pt idx="0">
                  <c:v>RMSE=0.00035を達成するのに必要な古典モンテサンプル数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'RQAE_eps0=2^-10_R=12_deg10'!$J$2:$J$9</c:f>
              <c:numCache>
                <c:formatCode>General</c:formatCode>
                <c:ptCount val="8"/>
                <c:pt idx="0">
                  <c:v>8</c:v>
                </c:pt>
                <c:pt idx="1">
                  <c:v>11</c:v>
                </c:pt>
                <c:pt idx="2">
                  <c:v>16</c:v>
                </c:pt>
                <c:pt idx="3">
                  <c:v>22</c:v>
                </c:pt>
                <c:pt idx="4">
                  <c:v>32</c:v>
                </c:pt>
                <c:pt idx="5">
                  <c:v>45</c:v>
                </c:pt>
                <c:pt idx="6">
                  <c:v>64</c:v>
                </c:pt>
                <c:pt idx="7">
                  <c:v>90</c:v>
                </c:pt>
              </c:numCache>
            </c:numRef>
          </c:xVal>
          <c:yVal>
            <c:numRef>
              <c:f>'RQAE_eps0=2^-10_R=12_deg10'!$R$2:$R$9</c:f>
              <c:numCache>
                <c:formatCode>#,##0_);[Red]\(#,##0\)</c:formatCode>
                <c:ptCount val="8"/>
                <c:pt idx="0">
                  <c:v>31157140.617471181</c:v>
                </c:pt>
                <c:pt idx="1">
                  <c:v>42841068.349022873</c:v>
                </c:pt>
                <c:pt idx="2">
                  <c:v>62314281.234942362</c:v>
                </c:pt>
                <c:pt idx="3">
                  <c:v>85682136.698045745</c:v>
                </c:pt>
                <c:pt idx="4">
                  <c:v>124628562.46988472</c:v>
                </c:pt>
                <c:pt idx="5">
                  <c:v>175258915.97327542</c:v>
                </c:pt>
                <c:pt idx="6">
                  <c:v>249257124.93976945</c:v>
                </c:pt>
                <c:pt idx="7">
                  <c:v>350517831.94655085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E6-4341-99FE-6CA6D6FC52C8}"/>
            </c:ext>
          </c:extLst>
        </c:ser>
        <c:ser>
          <c:idx val="1"/>
          <c:order val="2"/>
          <c:tx>
            <c:strRef>
              <c:f>'RQAE_eps0=2^-10_R=12_deg10'!$Q$1</c:f>
              <c:strCache>
                <c:ptCount val="1"/>
                <c:pt idx="0">
                  <c:v>同じRMSEを達成するのに必要な古典モンテサンプル数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'RQAE_eps0=2^-10_R=12_deg10'!$J$2:$J$9</c:f>
              <c:numCache>
                <c:formatCode>General</c:formatCode>
                <c:ptCount val="8"/>
                <c:pt idx="0">
                  <c:v>8</c:v>
                </c:pt>
                <c:pt idx="1">
                  <c:v>11</c:v>
                </c:pt>
                <c:pt idx="2">
                  <c:v>16</c:v>
                </c:pt>
                <c:pt idx="3">
                  <c:v>22</c:v>
                </c:pt>
                <c:pt idx="4">
                  <c:v>32</c:v>
                </c:pt>
                <c:pt idx="5">
                  <c:v>45</c:v>
                </c:pt>
                <c:pt idx="6">
                  <c:v>64</c:v>
                </c:pt>
                <c:pt idx="7">
                  <c:v>90</c:v>
                </c:pt>
              </c:numCache>
            </c:numRef>
          </c:xVal>
          <c:yVal>
            <c:numRef>
              <c:f>'RQAE_eps0=2^-10_R=12_deg10'!$Q$2:$Q$9</c:f>
              <c:numCache>
                <c:formatCode>#,##0_);[Red]\(#,##0\)</c:formatCode>
                <c:ptCount val="8"/>
                <c:pt idx="0">
                  <c:v>75775486.999802843</c:v>
                </c:pt>
                <c:pt idx="1">
                  <c:v>78054625.628747165</c:v>
                </c:pt>
                <c:pt idx="2">
                  <c:v>82191893.739923105</c:v>
                </c:pt>
                <c:pt idx="3">
                  <c:v>146114841.42521337</c:v>
                </c:pt>
                <c:pt idx="4">
                  <c:v>497089156.45502561</c:v>
                </c:pt>
                <c:pt idx="5">
                  <c:v>169866719.28606692</c:v>
                </c:pt>
                <c:pt idx="6">
                  <c:v>462096226.46292949</c:v>
                </c:pt>
                <c:pt idx="7">
                  <c:v>146076142.88863158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44-408E-BE21-EA58B9980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2695600"/>
        <c:axId val="1102700880"/>
      </c:scatterChart>
      <c:valAx>
        <c:axId val="1102695600"/>
        <c:scaling>
          <c:logBase val="10"/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2700880"/>
        <c:crosses val="autoZero"/>
        <c:crossBetween val="midCat"/>
      </c:valAx>
      <c:valAx>
        <c:axId val="1102700880"/>
        <c:scaling>
          <c:logBase val="10"/>
          <c:orientation val="minMax"/>
          <c:min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2695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285750</xdr:colOff>
      <xdr:row>9</xdr:row>
      <xdr:rowOff>76200</xdr:rowOff>
    </xdr:from>
    <xdr:to>
      <xdr:col>16</xdr:col>
      <xdr:colOff>3057525</xdr:colOff>
      <xdr:row>21</xdr:row>
      <xdr:rowOff>209550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54D9CEE-C6DE-B276-DD7F-69ACC75249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532EA-BAB9-471F-AFF2-8FC10C78FD9E}">
  <dimension ref="A1:R74"/>
  <sheetViews>
    <sheetView tabSelected="1" workbookViewId="0">
      <selection activeCell="E75" sqref="E75"/>
    </sheetView>
  </sheetViews>
  <sheetFormatPr defaultRowHeight="18.75" x14ac:dyDescent="0.4"/>
  <cols>
    <col min="13" max="13" width="14.875" bestFit="1" customWidth="1"/>
    <col min="17" max="17" width="51.75" bestFit="1" customWidth="1"/>
    <col min="18" max="18" width="14.875" bestFit="1" customWidth="1"/>
  </cols>
  <sheetData>
    <row r="1" spans="1:1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  <c r="J1" t="s">
        <v>0</v>
      </c>
      <c r="K1" t="s">
        <v>8</v>
      </c>
      <c r="L1" t="s">
        <v>9</v>
      </c>
      <c r="M1" t="s">
        <v>10</v>
      </c>
      <c r="N1" t="s">
        <v>6</v>
      </c>
      <c r="Q1" t="s">
        <v>11</v>
      </c>
      <c r="R1" t="s">
        <v>12</v>
      </c>
    </row>
    <row r="2" spans="1:18" x14ac:dyDescent="0.4">
      <c r="A2">
        <v>8</v>
      </c>
      <c r="B2">
        <v>0.64960476741992701</v>
      </c>
      <c r="C2">
        <v>3.4526698300124301E-4</v>
      </c>
      <c r="D2">
        <v>0.64958351303880402</v>
      </c>
      <c r="E2" s="1">
        <v>2.12543811237697E-5</v>
      </c>
      <c r="F2" s="1">
        <f>E2*E2</f>
        <v>4.5174871695445773E-10</v>
      </c>
      <c r="G2">
        <v>5286272</v>
      </c>
      <c r="H2">
        <v>2895</v>
      </c>
      <c r="J2">
        <v>8</v>
      </c>
      <c r="K2" s="2">
        <f t="shared" ref="K2:K9" si="0">AVERAGEIF($A$2:$A$1048576,$J2,$E$2:$E$1048576)</f>
        <v>1.7274428806595101E-4</v>
      </c>
      <c r="L2" s="5">
        <f>SQRT(AVERAGEIF($A$2:$A$1048576,$J2,$F$2:$F$1048576))</f>
        <v>2.2443080820629631E-4</v>
      </c>
      <c r="M2" s="3">
        <f t="shared" ref="M2:M9" si="1">AVERAGEIF($A$2:$A$1048576,$J2,$G$2:$G$1048576)</f>
        <v>5321681</v>
      </c>
      <c r="N2" s="4">
        <f t="shared" ref="N2:N9" si="2">AVERAGEIF($A$2:$A$1048576,$J2,$H$2:$H$1048576)</f>
        <v>2895.6</v>
      </c>
      <c r="Q2" s="3">
        <f t="shared" ref="Q2:Q9" si="3">$J2/$L2/$L2*SQRT($B$2*(1-$B$2))</f>
        <v>75775486.999802843</v>
      </c>
      <c r="R2" s="3">
        <f t="shared" ref="R2:R9" si="4">$J2/(0.00035^2)*SQRT($B$2*(1-$B$2))</f>
        <v>31157140.617471181</v>
      </c>
    </row>
    <row r="3" spans="1:18" x14ac:dyDescent="0.4">
      <c r="A3">
        <v>11</v>
      </c>
      <c r="B3">
        <v>0.64960476741992701</v>
      </c>
      <c r="C3">
        <v>2.9444467243922202E-4</v>
      </c>
      <c r="D3">
        <v>0.64966711514901498</v>
      </c>
      <c r="E3" s="1">
        <v>6.2347729087197602E-5</v>
      </c>
      <c r="F3" s="1">
        <f t="shared" ref="F3:F66" si="5">E3*E3</f>
        <v>3.8872393223305857E-9</v>
      </c>
      <c r="G3">
        <v>7651953</v>
      </c>
      <c r="H3">
        <v>3394</v>
      </c>
      <c r="J3">
        <v>11</v>
      </c>
      <c r="K3" s="2">
        <f t="shared" si="0"/>
        <v>2.127640813319357E-4</v>
      </c>
      <c r="L3" s="5">
        <f t="shared" ref="L3:L8" si="6">SQRT(AVERAGEIF($A$2:$A$1048576,$J3,$F$2:$F$1048576))</f>
        <v>2.5929782151546651E-4</v>
      </c>
      <c r="M3" s="3">
        <f t="shared" si="1"/>
        <v>7645243.222222222</v>
      </c>
      <c r="N3" s="4">
        <f t="shared" si="2"/>
        <v>3395.4444444444443</v>
      </c>
      <c r="Q3" s="3">
        <f t="shared" si="3"/>
        <v>78054625.628747165</v>
      </c>
      <c r="R3" s="3">
        <f t="shared" si="4"/>
        <v>42841068.349022873</v>
      </c>
    </row>
    <row r="4" spans="1:18" x14ac:dyDescent="0.4">
      <c r="A4">
        <v>16</v>
      </c>
      <c r="B4">
        <v>0.64960476741992701</v>
      </c>
      <c r="C4">
        <v>2.44140625E-4</v>
      </c>
      <c r="D4">
        <v>0.64975892120461998</v>
      </c>
      <c r="E4">
        <v>1.54153784692634E-4</v>
      </c>
      <c r="F4" s="1">
        <f t="shared" si="5"/>
        <v>2.3763389335062961E-8</v>
      </c>
      <c r="G4">
        <v>11787990</v>
      </c>
      <c r="H4">
        <v>4094</v>
      </c>
      <c r="J4">
        <v>16</v>
      </c>
      <c r="K4" s="2">
        <f t="shared" si="0"/>
        <v>2.3330382848754319E-4</v>
      </c>
      <c r="L4" s="5">
        <f t="shared" si="6"/>
        <v>3.0475254835707826E-4</v>
      </c>
      <c r="M4" s="3">
        <f t="shared" si="1"/>
        <v>11779151.666666666</v>
      </c>
      <c r="N4" s="4">
        <f t="shared" si="2"/>
        <v>4094.6666666666665</v>
      </c>
      <c r="Q4" s="3">
        <f t="shared" si="3"/>
        <v>82191893.739923105</v>
      </c>
      <c r="R4" s="3">
        <f t="shared" si="4"/>
        <v>62314281.234942362</v>
      </c>
    </row>
    <row r="5" spans="1:18" x14ac:dyDescent="0.4">
      <c r="A5">
        <v>22</v>
      </c>
      <c r="B5">
        <v>0.64960476741992701</v>
      </c>
      <c r="C5">
        <v>2.0820382456602501E-4</v>
      </c>
      <c r="D5">
        <v>0.649279576395139</v>
      </c>
      <c r="E5">
        <v>3.2519102478834001E-4</v>
      </c>
      <c r="F5" s="1">
        <f t="shared" si="5"/>
        <v>1.0574920260289077E-7</v>
      </c>
      <c r="G5">
        <v>27949093</v>
      </c>
      <c r="H5">
        <v>4802</v>
      </c>
      <c r="J5">
        <v>22</v>
      </c>
      <c r="K5" s="2">
        <f t="shared" si="0"/>
        <v>2.3493693877004319E-4</v>
      </c>
      <c r="L5" s="5">
        <f t="shared" si="6"/>
        <v>2.6801927180590079E-4</v>
      </c>
      <c r="M5" s="3">
        <f t="shared" si="1"/>
        <v>27948286</v>
      </c>
      <c r="N5" s="4">
        <f t="shared" si="2"/>
        <v>4802</v>
      </c>
      <c r="Q5" s="3">
        <f t="shared" si="3"/>
        <v>146114841.42521337</v>
      </c>
      <c r="R5" s="3">
        <f t="shared" si="4"/>
        <v>85682136.698045745</v>
      </c>
    </row>
    <row r="6" spans="1:18" x14ac:dyDescent="0.4">
      <c r="A6">
        <v>32</v>
      </c>
      <c r="B6">
        <v>0.64960476741992701</v>
      </c>
      <c r="C6">
        <v>1.7263349150062099E-4</v>
      </c>
      <c r="D6">
        <v>0.649498348272327</v>
      </c>
      <c r="E6">
        <v>1.0641914760056699E-4</v>
      </c>
      <c r="F6" s="1">
        <f t="shared" si="5"/>
        <v>1.1325034976031264E-8</v>
      </c>
      <c r="G6">
        <v>42579814</v>
      </c>
      <c r="H6">
        <v>5792</v>
      </c>
      <c r="J6">
        <v>32</v>
      </c>
      <c r="K6" s="2">
        <f t="shared" si="0"/>
        <v>1.4629142270421931E-4</v>
      </c>
      <c r="L6" s="5">
        <f t="shared" si="6"/>
        <v>1.7525067219656496E-4</v>
      </c>
      <c r="M6" s="3">
        <f t="shared" si="1"/>
        <v>42569841</v>
      </c>
      <c r="N6" s="4">
        <f t="shared" si="2"/>
        <v>5792</v>
      </c>
      <c r="Q6" s="3">
        <f t="shared" si="3"/>
        <v>497089156.45502561</v>
      </c>
      <c r="R6" s="3">
        <f t="shared" si="4"/>
        <v>124628562.46988472</v>
      </c>
    </row>
    <row r="7" spans="1:18" x14ac:dyDescent="0.4">
      <c r="A7">
        <v>45</v>
      </c>
      <c r="B7">
        <v>0.64960476741992701</v>
      </c>
      <c r="C7">
        <v>1.4557734228514199E-4</v>
      </c>
      <c r="D7">
        <v>0.64953389870236999</v>
      </c>
      <c r="E7" s="1">
        <v>7.0868717557459604E-5</v>
      </c>
      <c r="F7" s="1">
        <f t="shared" si="5"/>
        <v>5.0223751282389831E-9</v>
      </c>
      <c r="G7">
        <v>62616582</v>
      </c>
      <c r="H7">
        <v>6869</v>
      </c>
      <c r="J7">
        <v>45</v>
      </c>
      <c r="K7" s="2">
        <f t="shared" si="0"/>
        <v>2.522047918189031E-4</v>
      </c>
      <c r="L7" s="5">
        <f t="shared" si="6"/>
        <v>3.5551174688838429E-4</v>
      </c>
      <c r="M7" s="3">
        <f t="shared" si="1"/>
        <v>62709525.777777776</v>
      </c>
      <c r="N7" s="4">
        <f t="shared" si="2"/>
        <v>6869</v>
      </c>
      <c r="Q7" s="3">
        <f t="shared" si="3"/>
        <v>169866719.28606692</v>
      </c>
      <c r="R7" s="3">
        <f t="shared" si="4"/>
        <v>175258915.97327542</v>
      </c>
    </row>
    <row r="8" spans="1:18" x14ac:dyDescent="0.4">
      <c r="A8">
        <v>64</v>
      </c>
      <c r="B8">
        <v>0.64960476741992701</v>
      </c>
      <c r="C8">
        <v>1.220703125E-4</v>
      </c>
      <c r="D8">
        <v>0.64964445663316295</v>
      </c>
      <c r="E8" s="1">
        <v>3.9689213235605198E-5</v>
      </c>
      <c r="F8" s="1">
        <f t="shared" si="5"/>
        <v>1.5752336472613389E-9</v>
      </c>
      <c r="G8">
        <v>94269781</v>
      </c>
      <c r="H8">
        <v>8190</v>
      </c>
      <c r="J8">
        <v>64</v>
      </c>
      <c r="K8" s="2">
        <f t="shared" si="0"/>
        <v>2.0053145402794851E-4</v>
      </c>
      <c r="L8" s="5">
        <f t="shared" si="6"/>
        <v>2.5705474443255287E-4</v>
      </c>
      <c r="M8" s="3">
        <f t="shared" si="1"/>
        <v>94293841.777777776</v>
      </c>
      <c r="N8" s="4">
        <f t="shared" si="2"/>
        <v>8190.333333333333</v>
      </c>
      <c r="Q8" s="3">
        <f t="shared" si="3"/>
        <v>462096226.46292949</v>
      </c>
      <c r="R8" s="3">
        <f t="shared" si="4"/>
        <v>249257124.93976945</v>
      </c>
    </row>
    <row r="9" spans="1:18" x14ac:dyDescent="0.4">
      <c r="A9">
        <v>90</v>
      </c>
      <c r="B9">
        <v>0.64960476741992701</v>
      </c>
      <c r="C9">
        <v>1.02938725916939E-4</v>
      </c>
      <c r="D9">
        <v>0.65009450163766302</v>
      </c>
      <c r="E9">
        <v>4.8973421773601501E-4</v>
      </c>
      <c r="F9" s="1">
        <f t="shared" si="5"/>
        <v>2.3983960402150654E-7</v>
      </c>
      <c r="G9">
        <v>229522918</v>
      </c>
      <c r="H9">
        <v>9714</v>
      </c>
      <c r="J9">
        <v>90</v>
      </c>
      <c r="K9" s="2">
        <f t="shared" si="0"/>
        <v>4.4147618865382834E-4</v>
      </c>
      <c r="L9" s="5">
        <f>SQRT(AVERAGEIF($A$2:$A$1048576,$J9,$F$2:$F$1048576))</f>
        <v>5.4216746988741801E-4</v>
      </c>
      <c r="M9" s="3">
        <f t="shared" si="1"/>
        <v>229363286.8888889</v>
      </c>
      <c r="N9" s="4">
        <f t="shared" si="2"/>
        <v>9714</v>
      </c>
      <c r="Q9" s="3">
        <f t="shared" si="3"/>
        <v>146076142.88863158</v>
      </c>
      <c r="R9" s="3">
        <f t="shared" si="4"/>
        <v>350517831.94655085</v>
      </c>
    </row>
    <row r="10" spans="1:18" x14ac:dyDescent="0.4">
      <c r="A10">
        <v>8</v>
      </c>
      <c r="B10">
        <v>0.64960476741992701</v>
      </c>
      <c r="C10">
        <v>3.4526698300124301E-4</v>
      </c>
      <c r="D10">
        <v>0.65008786034853405</v>
      </c>
      <c r="E10">
        <v>4.8309292860704203E-4</v>
      </c>
      <c r="F10" s="1">
        <f t="shared" si="5"/>
        <v>2.3337877767012861E-7</v>
      </c>
      <c r="G10">
        <v>5322532</v>
      </c>
      <c r="H10">
        <v>2896</v>
      </c>
      <c r="K10" s="2"/>
      <c r="L10" s="2"/>
      <c r="M10" s="3"/>
      <c r="N10" s="4"/>
      <c r="Q10" s="3"/>
      <c r="R10" s="3"/>
    </row>
    <row r="11" spans="1:18" x14ac:dyDescent="0.4">
      <c r="A11">
        <v>11</v>
      </c>
      <c r="B11">
        <v>0.64960476741992701</v>
      </c>
      <c r="C11">
        <v>2.9444467243922202E-4</v>
      </c>
      <c r="D11">
        <v>0.649498348272327</v>
      </c>
      <c r="E11">
        <v>1.0641914760056699E-4</v>
      </c>
      <c r="F11" s="1">
        <f t="shared" si="5"/>
        <v>1.1325034976031264E-8</v>
      </c>
      <c r="G11">
        <v>7642056</v>
      </c>
      <c r="H11">
        <v>3396</v>
      </c>
    </row>
    <row r="12" spans="1:18" x14ac:dyDescent="0.4">
      <c r="A12">
        <v>16</v>
      </c>
      <c r="B12">
        <v>0.64960476741992701</v>
      </c>
      <c r="C12">
        <v>2.44140625E-4</v>
      </c>
      <c r="D12">
        <v>0.64967727241474105</v>
      </c>
      <c r="E12" s="1">
        <v>7.2504994813815603E-5</v>
      </c>
      <c r="F12" s="1">
        <f t="shared" si="5"/>
        <v>5.2569742729514277E-9</v>
      </c>
      <c r="G12">
        <v>11786212</v>
      </c>
      <c r="H12">
        <v>4095</v>
      </c>
    </row>
    <row r="13" spans="1:18" x14ac:dyDescent="0.4">
      <c r="A13">
        <v>22</v>
      </c>
      <c r="B13">
        <v>0.64960476741992701</v>
      </c>
      <c r="C13">
        <v>2.0820382456602501E-4</v>
      </c>
      <c r="D13">
        <v>0.64929637494999504</v>
      </c>
      <c r="E13">
        <v>3.0839246993274999E-4</v>
      </c>
      <c r="F13" s="1">
        <f t="shared" si="5"/>
        <v>9.5105915511222104E-8</v>
      </c>
      <c r="G13">
        <v>27979455</v>
      </c>
      <c r="H13">
        <v>4802</v>
      </c>
    </row>
    <row r="14" spans="1:18" x14ac:dyDescent="0.4">
      <c r="A14">
        <v>32</v>
      </c>
      <c r="B14">
        <v>0.64960476741992701</v>
      </c>
      <c r="C14">
        <v>1.7263349150062099E-4</v>
      </c>
      <c r="D14">
        <v>0.64944013932643196</v>
      </c>
      <c r="E14">
        <v>1.64628093495156E-4</v>
      </c>
      <c r="F14" s="1">
        <f t="shared" si="5"/>
        <v>2.7102409167849827E-8</v>
      </c>
      <c r="G14">
        <v>42645248</v>
      </c>
      <c r="H14">
        <v>5792</v>
      </c>
    </row>
    <row r="15" spans="1:18" x14ac:dyDescent="0.4">
      <c r="A15">
        <v>45</v>
      </c>
      <c r="B15">
        <v>0.64960476741992701</v>
      </c>
      <c r="C15">
        <v>1.4557734228514199E-4</v>
      </c>
      <c r="D15">
        <v>0.64931903346584596</v>
      </c>
      <c r="E15">
        <v>2.85733954081157E-4</v>
      </c>
      <c r="F15" s="1">
        <f t="shared" si="5"/>
        <v>8.164389251485273E-8</v>
      </c>
      <c r="G15">
        <v>62627516</v>
      </c>
      <c r="H15">
        <v>6869</v>
      </c>
    </row>
    <row r="16" spans="1:18" x14ac:dyDescent="0.4">
      <c r="A16">
        <v>64</v>
      </c>
      <c r="B16">
        <v>0.64960476741992701</v>
      </c>
      <c r="C16">
        <v>1.220703125E-4</v>
      </c>
      <c r="D16">
        <v>0.64968391370387002</v>
      </c>
      <c r="E16" s="1">
        <v>7.9146283942788096E-5</v>
      </c>
      <c r="F16" s="1">
        <f t="shared" si="5"/>
        <v>6.2641342619524369E-9</v>
      </c>
      <c r="G16">
        <v>94364964</v>
      </c>
      <c r="H16">
        <v>8190</v>
      </c>
    </row>
    <row r="17" spans="1:8" x14ac:dyDescent="0.4">
      <c r="A17">
        <v>90</v>
      </c>
      <c r="B17">
        <v>0.64960476741992701</v>
      </c>
      <c r="C17">
        <v>1.02938725916939E-4</v>
      </c>
      <c r="D17">
        <v>0.64856270783328296</v>
      </c>
      <c r="E17">
        <v>1.0420595866446E-3</v>
      </c>
      <c r="F17" s="1">
        <f t="shared" si="5"/>
        <v>1.0858881821179146E-6</v>
      </c>
      <c r="G17">
        <v>229349702</v>
      </c>
      <c r="H17">
        <v>9714</v>
      </c>
    </row>
    <row r="18" spans="1:8" x14ac:dyDescent="0.4">
      <c r="A18">
        <v>8</v>
      </c>
      <c r="B18">
        <v>0.64960476741992701</v>
      </c>
      <c r="C18">
        <v>3.4526698300124301E-4</v>
      </c>
      <c r="D18">
        <v>0.64988588702620198</v>
      </c>
      <c r="E18">
        <v>2.8111960627485999E-4</v>
      </c>
      <c r="F18" s="1">
        <f t="shared" si="5"/>
        <v>7.9028233032132297E-8</v>
      </c>
      <c r="G18">
        <v>5323357</v>
      </c>
      <c r="H18">
        <v>2896</v>
      </c>
    </row>
    <row r="19" spans="1:8" x14ac:dyDescent="0.4">
      <c r="A19">
        <v>11</v>
      </c>
      <c r="B19">
        <v>0.64960476741992701</v>
      </c>
      <c r="C19">
        <v>2.9444467243922202E-4</v>
      </c>
      <c r="D19">
        <v>0.64922761807430696</v>
      </c>
      <c r="E19">
        <v>3.7714934562027498E-4</v>
      </c>
      <c r="F19" s="1">
        <f t="shared" si="5"/>
        <v>1.4224162890180163E-7</v>
      </c>
      <c r="G19">
        <v>7634951</v>
      </c>
      <c r="H19">
        <v>3396</v>
      </c>
    </row>
    <row r="20" spans="1:8" x14ac:dyDescent="0.4">
      <c r="A20">
        <v>16</v>
      </c>
      <c r="B20">
        <v>0.64960476741992701</v>
      </c>
      <c r="C20">
        <v>2.44140625E-4</v>
      </c>
      <c r="D20">
        <v>0.649498348272327</v>
      </c>
      <c r="E20">
        <v>1.06419147600456E-4</v>
      </c>
      <c r="F20" s="1">
        <f t="shared" si="5"/>
        <v>1.132503497600764E-8</v>
      </c>
      <c r="G20">
        <v>11794276</v>
      </c>
      <c r="H20">
        <v>4095</v>
      </c>
    </row>
    <row r="21" spans="1:8" x14ac:dyDescent="0.4">
      <c r="A21">
        <v>22</v>
      </c>
      <c r="B21">
        <v>0.64960476741992701</v>
      </c>
      <c r="C21">
        <v>2.0820382456602501E-4</v>
      </c>
      <c r="D21">
        <v>0.64922761807430696</v>
      </c>
      <c r="E21">
        <v>3.7714934562027498E-4</v>
      </c>
      <c r="F21" s="1">
        <f t="shared" si="5"/>
        <v>1.4224162890180163E-7</v>
      </c>
      <c r="G21">
        <v>27943470</v>
      </c>
      <c r="H21">
        <v>4802</v>
      </c>
    </row>
    <row r="22" spans="1:8" x14ac:dyDescent="0.4">
      <c r="A22">
        <v>32</v>
      </c>
      <c r="B22">
        <v>0.64960476741992701</v>
      </c>
      <c r="C22">
        <v>1.7263349150062099E-4</v>
      </c>
      <c r="D22">
        <v>0.64946943913141297</v>
      </c>
      <c r="E22">
        <v>1.35328288514591E-4</v>
      </c>
      <c r="F22" s="1">
        <f t="shared" si="5"/>
        <v>1.8313745672288385E-8</v>
      </c>
      <c r="G22">
        <v>42530954</v>
      </c>
      <c r="H22">
        <v>5792</v>
      </c>
    </row>
    <row r="23" spans="1:8" x14ac:dyDescent="0.4">
      <c r="A23">
        <v>45</v>
      </c>
      <c r="B23">
        <v>0.64960476741992701</v>
      </c>
      <c r="C23">
        <v>1.4557734228514199E-4</v>
      </c>
      <c r="D23">
        <v>0.64910651221372095</v>
      </c>
      <c r="E23">
        <v>4.9825520620638798E-4</v>
      </c>
      <c r="F23" s="1">
        <f t="shared" si="5"/>
        <v>2.4825825051177019E-7</v>
      </c>
      <c r="G23">
        <v>62838856</v>
      </c>
      <c r="H23">
        <v>6869</v>
      </c>
    </row>
    <row r="24" spans="1:8" x14ac:dyDescent="0.4">
      <c r="A24">
        <v>64</v>
      </c>
      <c r="B24">
        <v>0.64960476741992701</v>
      </c>
      <c r="C24">
        <v>1.220703125E-4</v>
      </c>
      <c r="D24">
        <v>0.649746419954495</v>
      </c>
      <c r="E24">
        <v>1.4165253456766E-4</v>
      </c>
      <c r="F24" s="1">
        <f t="shared" si="5"/>
        <v>2.0065440549442112E-8</v>
      </c>
      <c r="G24">
        <v>94121062</v>
      </c>
      <c r="H24">
        <v>8191</v>
      </c>
    </row>
    <row r="25" spans="1:8" x14ac:dyDescent="0.4">
      <c r="A25">
        <v>90</v>
      </c>
      <c r="B25">
        <v>0.64960476741992701</v>
      </c>
      <c r="C25">
        <v>1.02938725916939E-4</v>
      </c>
      <c r="D25">
        <v>0.64947568975647496</v>
      </c>
      <c r="E25">
        <v>1.29077663452159E-4</v>
      </c>
      <c r="F25" s="1">
        <f t="shared" si="5"/>
        <v>1.6661043202268824E-8</v>
      </c>
      <c r="G25">
        <v>229202256</v>
      </c>
      <c r="H25">
        <v>9714</v>
      </c>
    </row>
    <row r="26" spans="1:8" x14ac:dyDescent="0.4">
      <c r="A26">
        <v>8</v>
      </c>
      <c r="B26">
        <v>0.64960476741992701</v>
      </c>
      <c r="C26">
        <v>3.4526698300124301E-4</v>
      </c>
      <c r="D26">
        <v>0.64941748081058104</v>
      </c>
      <c r="E26">
        <v>1.87286609346637E-4</v>
      </c>
      <c r="F26" s="1">
        <f t="shared" si="5"/>
        <v>3.5076274040559819E-8</v>
      </c>
      <c r="G26">
        <v>5319151</v>
      </c>
      <c r="H26">
        <v>2896</v>
      </c>
    </row>
    <row r="27" spans="1:8" x14ac:dyDescent="0.4">
      <c r="A27">
        <v>11</v>
      </c>
      <c r="B27">
        <v>0.64960476741992701</v>
      </c>
      <c r="C27">
        <v>2.9444467243922202E-4</v>
      </c>
      <c r="D27">
        <v>0.64989252831533095</v>
      </c>
      <c r="E27">
        <v>2.8776089540383199E-4</v>
      </c>
      <c r="F27" s="1">
        <f t="shared" si="5"/>
        <v>8.2806332923615135E-8</v>
      </c>
      <c r="G27">
        <v>7649538</v>
      </c>
      <c r="H27">
        <v>3395</v>
      </c>
    </row>
    <row r="28" spans="1:8" x14ac:dyDescent="0.4">
      <c r="A28">
        <v>16</v>
      </c>
      <c r="B28">
        <v>0.64960476741992701</v>
      </c>
      <c r="C28">
        <v>2.44140625E-4</v>
      </c>
      <c r="D28">
        <v>0.65022146745924503</v>
      </c>
      <c r="E28">
        <v>6.1670003931812902E-4</v>
      </c>
      <c r="F28" s="1">
        <f t="shared" si="5"/>
        <v>3.8031893849498188E-7</v>
      </c>
      <c r="G28">
        <v>11714609</v>
      </c>
      <c r="H28">
        <v>4095</v>
      </c>
    </row>
    <row r="29" spans="1:8" x14ac:dyDescent="0.4">
      <c r="A29">
        <v>22</v>
      </c>
      <c r="B29">
        <v>0.64960476741992701</v>
      </c>
      <c r="C29">
        <v>2.0820382456602501E-4</v>
      </c>
      <c r="D29">
        <v>0.64952374143664304</v>
      </c>
      <c r="E29" s="1">
        <v>8.1025983284077605E-5</v>
      </c>
      <c r="F29" s="1">
        <f t="shared" si="5"/>
        <v>6.5652099671516234E-9</v>
      </c>
      <c r="G29">
        <v>27938891</v>
      </c>
      <c r="H29">
        <v>4802</v>
      </c>
    </row>
    <row r="30" spans="1:8" x14ac:dyDescent="0.4">
      <c r="A30">
        <v>32</v>
      </c>
      <c r="B30">
        <v>0.64960476741992701</v>
      </c>
      <c r="C30">
        <v>1.7263349150062099E-4</v>
      </c>
      <c r="D30">
        <v>0.64961906346884601</v>
      </c>
      <c r="E30" s="1">
        <v>1.4296048919004699E-5</v>
      </c>
      <c r="F30" s="1">
        <f t="shared" si="5"/>
        <v>2.0437701469457544E-10</v>
      </c>
      <c r="G30">
        <v>42518626</v>
      </c>
      <c r="H30">
        <v>5792</v>
      </c>
    </row>
    <row r="31" spans="1:8" x14ac:dyDescent="0.4">
      <c r="A31">
        <v>45</v>
      </c>
      <c r="B31">
        <v>0.64960476741992701</v>
      </c>
      <c r="C31">
        <v>1.4557734228514199E-4</v>
      </c>
      <c r="D31">
        <v>0.65040078226572595</v>
      </c>
      <c r="E31">
        <v>7.9601484579883098E-4</v>
      </c>
      <c r="F31" s="1">
        <f t="shared" si="5"/>
        <v>6.3363963473213668E-7</v>
      </c>
      <c r="G31">
        <v>62618828</v>
      </c>
      <c r="H31">
        <v>6869</v>
      </c>
    </row>
    <row r="32" spans="1:8" x14ac:dyDescent="0.4">
      <c r="A32">
        <v>64</v>
      </c>
      <c r="B32">
        <v>0.64960476741992701</v>
      </c>
      <c r="C32">
        <v>1.220703125E-4</v>
      </c>
      <c r="D32">
        <v>0.64989877894039405</v>
      </c>
      <c r="E32">
        <v>2.94011520466264E-4</v>
      </c>
      <c r="F32" s="1">
        <f t="shared" si="5"/>
        <v>8.6442774166884379E-8</v>
      </c>
      <c r="G32">
        <v>94291077</v>
      </c>
      <c r="H32">
        <v>8191</v>
      </c>
    </row>
    <row r="33" spans="1:8" x14ac:dyDescent="0.4">
      <c r="A33">
        <v>90</v>
      </c>
      <c r="B33">
        <v>0.64960476741992701</v>
      </c>
      <c r="C33">
        <v>1.02938725916939E-4</v>
      </c>
      <c r="D33">
        <v>0.64972962139963997</v>
      </c>
      <c r="E33">
        <v>1.2485397971218E-4</v>
      </c>
      <c r="F33" s="1">
        <f t="shared" si="5"/>
        <v>1.5588516249969454E-8</v>
      </c>
      <c r="G33">
        <v>229237058</v>
      </c>
      <c r="H33">
        <v>9714</v>
      </c>
    </row>
    <row r="34" spans="1:8" x14ac:dyDescent="0.4">
      <c r="A34">
        <v>8</v>
      </c>
      <c r="B34">
        <v>0.64960476741992701</v>
      </c>
      <c r="C34">
        <v>3.4526698300124301E-4</v>
      </c>
      <c r="D34">
        <v>0.64960226491399098</v>
      </c>
      <c r="E34" s="1">
        <v>2.5025059363636898E-6</v>
      </c>
      <c r="F34" s="1">
        <f t="shared" si="5"/>
        <v>6.2625359615355076E-12</v>
      </c>
      <c r="G34">
        <v>5320029</v>
      </c>
      <c r="H34">
        <v>2896</v>
      </c>
    </row>
    <row r="35" spans="1:8" x14ac:dyDescent="0.4">
      <c r="A35">
        <v>11</v>
      </c>
      <c r="B35">
        <v>0.64960476741992701</v>
      </c>
      <c r="C35">
        <v>2.9444467243922202E-4</v>
      </c>
      <c r="D35">
        <v>0.64980697288478795</v>
      </c>
      <c r="E35">
        <v>2.0220546486071601E-4</v>
      </c>
      <c r="F35" s="1">
        <f t="shared" si="5"/>
        <v>4.0887050019538254E-8</v>
      </c>
      <c r="G35">
        <v>7652051</v>
      </c>
      <c r="H35">
        <v>3396</v>
      </c>
    </row>
    <row r="36" spans="1:8" x14ac:dyDescent="0.4">
      <c r="A36">
        <v>16</v>
      </c>
      <c r="B36">
        <v>0.64960476741992701</v>
      </c>
      <c r="C36">
        <v>2.44140625E-4</v>
      </c>
      <c r="D36">
        <v>0.64961515682818305</v>
      </c>
      <c r="E36" s="1">
        <v>1.0389408255262401E-5</v>
      </c>
      <c r="F36" s="1">
        <f t="shared" si="5"/>
        <v>1.0793980389451452E-10</v>
      </c>
      <c r="G36">
        <v>11812052</v>
      </c>
      <c r="H36">
        <v>4095</v>
      </c>
    </row>
    <row r="37" spans="1:8" x14ac:dyDescent="0.4">
      <c r="A37">
        <v>22</v>
      </c>
      <c r="B37">
        <v>0.64960476741992701</v>
      </c>
      <c r="C37">
        <v>2.0820382456602501E-4</v>
      </c>
      <c r="D37">
        <v>0.64972962139963897</v>
      </c>
      <c r="E37">
        <v>1.24853979712069E-4</v>
      </c>
      <c r="F37" s="1">
        <f t="shared" si="5"/>
        <v>1.5588516249941737E-8</v>
      </c>
      <c r="G37">
        <v>27932936</v>
      </c>
      <c r="H37">
        <v>4802</v>
      </c>
    </row>
    <row r="38" spans="1:8" x14ac:dyDescent="0.4">
      <c r="A38">
        <v>32</v>
      </c>
      <c r="B38">
        <v>0.64960476741992701</v>
      </c>
      <c r="C38">
        <v>1.7263349150062099E-4</v>
      </c>
      <c r="D38">
        <v>0.64957960639813905</v>
      </c>
      <c r="E38" s="1">
        <v>2.5161021787845001E-5</v>
      </c>
      <c r="F38" s="1">
        <f t="shared" si="5"/>
        <v>6.3307701740841089E-10</v>
      </c>
      <c r="G38">
        <v>42527288</v>
      </c>
      <c r="H38">
        <v>5792</v>
      </c>
    </row>
    <row r="39" spans="1:8" x14ac:dyDescent="0.4">
      <c r="A39">
        <v>45</v>
      </c>
      <c r="B39">
        <v>0.64960476741992701</v>
      </c>
      <c r="C39">
        <v>1.4557734228514199E-4</v>
      </c>
      <c r="D39">
        <v>0.64958585702320204</v>
      </c>
      <c r="E39" s="1">
        <v>1.8910396725413301E-5</v>
      </c>
      <c r="F39" s="1">
        <f t="shared" si="5"/>
        <v>3.5760310431252209E-10</v>
      </c>
      <c r="G39">
        <v>62782617</v>
      </c>
      <c r="H39">
        <v>6869</v>
      </c>
    </row>
    <row r="40" spans="1:8" x14ac:dyDescent="0.4">
      <c r="A40">
        <v>64</v>
      </c>
      <c r="B40">
        <v>0.64960476741992701</v>
      </c>
      <c r="C40">
        <v>1.220703125E-4</v>
      </c>
      <c r="D40">
        <v>0.649498348272327</v>
      </c>
      <c r="E40">
        <v>1.0641914760056699E-4</v>
      </c>
      <c r="F40" s="1">
        <f t="shared" si="5"/>
        <v>1.1325034976031264E-8</v>
      </c>
      <c r="G40">
        <v>94473274</v>
      </c>
      <c r="H40">
        <v>8190</v>
      </c>
    </row>
    <row r="41" spans="1:8" x14ac:dyDescent="0.4">
      <c r="A41">
        <v>90</v>
      </c>
      <c r="B41">
        <v>0.64960476741992701</v>
      </c>
      <c r="C41">
        <v>1.02938725916939E-4</v>
      </c>
      <c r="D41">
        <v>0.65041758082058199</v>
      </c>
      <c r="E41">
        <v>8.1281340065419896E-4</v>
      </c>
      <c r="F41" s="1">
        <f t="shared" si="5"/>
        <v>6.6066562428304337E-7</v>
      </c>
      <c r="G41">
        <v>229638605</v>
      </c>
      <c r="H41">
        <v>9714</v>
      </c>
    </row>
    <row r="42" spans="1:8" x14ac:dyDescent="0.4">
      <c r="A42">
        <v>8</v>
      </c>
      <c r="B42">
        <v>0.64960476741992701</v>
      </c>
      <c r="C42">
        <v>3.4526698300124301E-4</v>
      </c>
      <c r="D42">
        <v>0.64951710014751396</v>
      </c>
      <c r="E42" s="1">
        <v>8.7667272413050003E-5</v>
      </c>
      <c r="F42" s="1">
        <f t="shared" si="5"/>
        <v>7.6855506523439188E-9</v>
      </c>
      <c r="G42">
        <v>5323932</v>
      </c>
      <c r="H42">
        <v>2896</v>
      </c>
    </row>
    <row r="43" spans="1:8" x14ac:dyDescent="0.4">
      <c r="A43">
        <v>11</v>
      </c>
      <c r="B43">
        <v>0.64960476741992701</v>
      </c>
      <c r="C43">
        <v>2.9444467243922202E-4</v>
      </c>
      <c r="D43">
        <v>0.64952764807730701</v>
      </c>
      <c r="E43" s="1">
        <v>7.7119342619891203E-5</v>
      </c>
      <c r="F43" s="1">
        <f t="shared" si="5"/>
        <v>5.9473930061241679E-9</v>
      </c>
      <c r="G43">
        <v>7646743</v>
      </c>
      <c r="H43">
        <v>3396</v>
      </c>
    </row>
    <row r="44" spans="1:8" x14ac:dyDescent="0.4">
      <c r="A44">
        <v>16</v>
      </c>
      <c r="B44">
        <v>0.64960476741992701</v>
      </c>
      <c r="C44">
        <v>2.44140625E-4</v>
      </c>
      <c r="D44">
        <v>0.649746419954495</v>
      </c>
      <c r="E44">
        <v>1.4165253456766E-4</v>
      </c>
      <c r="F44" s="1">
        <f t="shared" si="5"/>
        <v>2.0065440549442112E-8</v>
      </c>
      <c r="G44">
        <v>11803973</v>
      </c>
      <c r="H44">
        <v>4093</v>
      </c>
    </row>
    <row r="45" spans="1:8" x14ac:dyDescent="0.4">
      <c r="A45">
        <v>22</v>
      </c>
      <c r="B45">
        <v>0.64960476741992701</v>
      </c>
      <c r="C45">
        <v>2.0820382456602501E-4</v>
      </c>
      <c r="D45">
        <v>0.64973587202470195</v>
      </c>
      <c r="E45">
        <v>1.31104604774834E-4</v>
      </c>
      <c r="F45" s="1">
        <f t="shared" si="5"/>
        <v>1.7188417393165426E-8</v>
      </c>
      <c r="G45">
        <v>27960581</v>
      </c>
      <c r="H45">
        <v>4802</v>
      </c>
    </row>
    <row r="46" spans="1:8" x14ac:dyDescent="0.4">
      <c r="A46">
        <v>32</v>
      </c>
      <c r="B46">
        <v>0.64960476741992701</v>
      </c>
      <c r="C46">
        <v>1.7263349150062099E-4</v>
      </c>
      <c r="D46">
        <v>0.64968391370387002</v>
      </c>
      <c r="E46" s="1">
        <v>7.9146283942677006E-5</v>
      </c>
      <c r="F46" s="1">
        <f t="shared" si="5"/>
        <v>6.2641342619348519E-9</v>
      </c>
      <c r="G46">
        <v>42564115</v>
      </c>
      <c r="H46">
        <v>5792</v>
      </c>
    </row>
    <row r="47" spans="1:8" x14ac:dyDescent="0.4">
      <c r="A47">
        <v>45</v>
      </c>
      <c r="B47">
        <v>0.64960476741992701</v>
      </c>
      <c r="C47">
        <v>1.4557734228514199E-4</v>
      </c>
      <c r="D47">
        <v>0.64960265557805696</v>
      </c>
      <c r="E47" s="1">
        <v>2.1118418700449799E-6</v>
      </c>
      <c r="F47" s="1">
        <f t="shared" si="5"/>
        <v>4.459876084075078E-12</v>
      </c>
      <c r="G47">
        <v>62714436</v>
      </c>
      <c r="H47">
        <v>6869</v>
      </c>
    </row>
    <row r="48" spans="1:8" x14ac:dyDescent="0.4">
      <c r="A48">
        <v>64</v>
      </c>
      <c r="B48">
        <v>0.64960476741992701</v>
      </c>
      <c r="C48">
        <v>1.220703125E-4</v>
      </c>
      <c r="D48">
        <v>0.64916511182368197</v>
      </c>
      <c r="E48">
        <v>4.39655596245369E-4</v>
      </c>
      <c r="F48" s="1">
        <f t="shared" si="5"/>
        <v>1.9329704330987092E-7</v>
      </c>
      <c r="G48">
        <v>94143549</v>
      </c>
      <c r="H48">
        <v>8191</v>
      </c>
    </row>
    <row r="49" spans="1:8" x14ac:dyDescent="0.4">
      <c r="A49">
        <v>90</v>
      </c>
      <c r="B49">
        <v>0.64960476741992701</v>
      </c>
      <c r="C49">
        <v>1.02938725916939E-4</v>
      </c>
      <c r="D49">
        <v>0.65001949413691296</v>
      </c>
      <c r="E49">
        <v>4.1472671698605801E-4</v>
      </c>
      <c r="F49" s="1">
        <f t="shared" si="5"/>
        <v>1.7199824978203387E-7</v>
      </c>
      <c r="G49">
        <v>229233052</v>
      </c>
      <c r="H49">
        <v>9714</v>
      </c>
    </row>
    <row r="50" spans="1:8" x14ac:dyDescent="0.4">
      <c r="A50">
        <v>8</v>
      </c>
      <c r="B50">
        <v>0.64960476741992701</v>
      </c>
      <c r="C50">
        <v>3.4526698300124301E-4</v>
      </c>
      <c r="D50">
        <v>0.64936708514601404</v>
      </c>
      <c r="E50">
        <v>2.3768227391318599E-4</v>
      </c>
      <c r="F50" s="1">
        <f t="shared" si="5"/>
        <v>5.6492863332542774E-8</v>
      </c>
      <c r="G50">
        <v>5336433</v>
      </c>
      <c r="H50">
        <v>2893</v>
      </c>
    </row>
    <row r="51" spans="1:8" x14ac:dyDescent="0.4">
      <c r="A51">
        <v>11</v>
      </c>
      <c r="B51">
        <v>0.64960476741992701</v>
      </c>
      <c r="C51">
        <v>2.9444467243922202E-4</v>
      </c>
      <c r="D51">
        <v>0.65011716015351495</v>
      </c>
      <c r="E51">
        <v>5.1239273358760697E-4</v>
      </c>
      <c r="F51" s="1">
        <f t="shared" si="5"/>
        <v>2.6254631343338038E-7</v>
      </c>
      <c r="G51">
        <v>7666311</v>
      </c>
      <c r="H51">
        <v>3396</v>
      </c>
    </row>
    <row r="52" spans="1:8" x14ac:dyDescent="0.4">
      <c r="A52">
        <v>16</v>
      </c>
      <c r="B52">
        <v>0.64960476741992701</v>
      </c>
      <c r="C52">
        <v>2.44140625E-4</v>
      </c>
      <c r="D52">
        <v>0.64937372643514302</v>
      </c>
      <c r="E52">
        <v>2.3104098478421401E-4</v>
      </c>
      <c r="F52" s="1">
        <f t="shared" si="5"/>
        <v>5.3379936650059411E-8</v>
      </c>
      <c r="G52">
        <v>11763933</v>
      </c>
      <c r="H52">
        <v>4095</v>
      </c>
    </row>
    <row r="53" spans="1:8" x14ac:dyDescent="0.4">
      <c r="A53">
        <v>22</v>
      </c>
      <c r="B53">
        <v>0.64960476741992701</v>
      </c>
      <c r="C53">
        <v>2.0820382456602501E-4</v>
      </c>
      <c r="D53">
        <v>0.64972962139963897</v>
      </c>
      <c r="E53">
        <v>1.24853979712069E-4</v>
      </c>
      <c r="F53" s="1">
        <f t="shared" si="5"/>
        <v>1.5588516249941737E-8</v>
      </c>
      <c r="G53">
        <v>27936125</v>
      </c>
      <c r="H53">
        <v>4802</v>
      </c>
    </row>
    <row r="54" spans="1:8" x14ac:dyDescent="0.4">
      <c r="A54">
        <v>32</v>
      </c>
      <c r="B54">
        <v>0.64960476741992701</v>
      </c>
      <c r="C54">
        <v>1.7263349150062099E-4</v>
      </c>
      <c r="D54">
        <v>0.64982767808030795</v>
      </c>
      <c r="E54">
        <v>2.2291066038027099E-4</v>
      </c>
      <c r="F54" s="1">
        <f t="shared" si="5"/>
        <v>4.9689162511168516E-8</v>
      </c>
      <c r="G54">
        <v>42656839</v>
      </c>
      <c r="H54">
        <v>5792</v>
      </c>
    </row>
    <row r="55" spans="1:8" x14ac:dyDescent="0.4">
      <c r="A55">
        <v>45</v>
      </c>
      <c r="B55">
        <v>0.64960476741992701</v>
      </c>
      <c r="C55">
        <v>1.4557734228514199E-4</v>
      </c>
      <c r="D55">
        <v>0.649746419954495</v>
      </c>
      <c r="E55">
        <v>1.4165253456766E-4</v>
      </c>
      <c r="F55" s="1">
        <f t="shared" si="5"/>
        <v>2.0065440549442112E-8</v>
      </c>
      <c r="G55">
        <v>62760169</v>
      </c>
      <c r="H55">
        <v>6869</v>
      </c>
    </row>
    <row r="56" spans="1:8" x14ac:dyDescent="0.4">
      <c r="A56">
        <v>64</v>
      </c>
      <c r="B56">
        <v>0.64960476741992701</v>
      </c>
      <c r="C56">
        <v>1.220703125E-4</v>
      </c>
      <c r="D56">
        <v>0.65010036159865903</v>
      </c>
      <c r="E56">
        <v>4.9559417873212797E-4</v>
      </c>
      <c r="F56" s="1">
        <f t="shared" si="5"/>
        <v>2.4561358999317242E-7</v>
      </c>
      <c r="G56">
        <v>94466857</v>
      </c>
      <c r="H56">
        <v>8188</v>
      </c>
    </row>
    <row r="57" spans="1:8" x14ac:dyDescent="0.4">
      <c r="A57">
        <v>90</v>
      </c>
      <c r="B57">
        <v>0.64960476741992701</v>
      </c>
      <c r="C57">
        <v>1.02938725916939E-4</v>
      </c>
      <c r="D57">
        <v>0.64897368643114295</v>
      </c>
      <c r="E57">
        <v>6.3108098878472598E-4</v>
      </c>
      <c r="F57" s="1">
        <f t="shared" si="5"/>
        <v>3.9826321440550742E-7</v>
      </c>
      <c r="G57">
        <v>229226549</v>
      </c>
      <c r="H57">
        <v>9714</v>
      </c>
    </row>
    <row r="58" spans="1:8" x14ac:dyDescent="0.4">
      <c r="A58">
        <v>8</v>
      </c>
      <c r="B58">
        <v>0.64960476741992701</v>
      </c>
      <c r="C58">
        <v>3.4526698300124301E-4</v>
      </c>
      <c r="D58">
        <v>0.64931942412991295</v>
      </c>
      <c r="E58">
        <v>2.8534329001472699E-4</v>
      </c>
      <c r="F58" s="1">
        <f t="shared" si="5"/>
        <v>8.1420793156428591E-8</v>
      </c>
      <c r="G58">
        <v>5316105</v>
      </c>
      <c r="H58">
        <v>2896</v>
      </c>
    </row>
    <row r="59" spans="1:8" x14ac:dyDescent="0.4">
      <c r="A59">
        <v>11</v>
      </c>
      <c r="B59">
        <v>0.64960476741992701</v>
      </c>
      <c r="C59">
        <v>2.9444467243922202E-4</v>
      </c>
      <c r="D59">
        <v>0.64966711514901498</v>
      </c>
      <c r="E59" s="1">
        <v>6.2347729087308597E-5</v>
      </c>
      <c r="F59" s="1">
        <f t="shared" si="5"/>
        <v>3.8872393223444269E-9</v>
      </c>
      <c r="G59">
        <v>7620077</v>
      </c>
      <c r="H59">
        <v>3396</v>
      </c>
    </row>
    <row r="60" spans="1:8" x14ac:dyDescent="0.4">
      <c r="A60">
        <v>16</v>
      </c>
      <c r="B60">
        <v>0.64960476741992701</v>
      </c>
      <c r="C60">
        <v>2.44140625E-4</v>
      </c>
      <c r="D60">
        <v>0.64906705514301399</v>
      </c>
      <c r="E60">
        <v>5.3771227691312695E-4</v>
      </c>
      <c r="F60" s="1">
        <f t="shared" si="5"/>
        <v>2.8913449274309934E-7</v>
      </c>
      <c r="G60">
        <v>11755907</v>
      </c>
      <c r="H60">
        <v>4095</v>
      </c>
    </row>
    <row r="61" spans="1:8" x14ac:dyDescent="0.4">
      <c r="A61">
        <v>22</v>
      </c>
      <c r="B61">
        <v>0.64960476741992701</v>
      </c>
      <c r="C61">
        <v>2.0820382456602501E-4</v>
      </c>
      <c r="D61">
        <v>0.64942959139663903</v>
      </c>
      <c r="E61">
        <v>1.75176023287981E-4</v>
      </c>
      <c r="F61" s="1">
        <f t="shared" si="5"/>
        <v>3.0686639134991266E-8</v>
      </c>
      <c r="G61">
        <v>27930083</v>
      </c>
      <c r="H61">
        <v>4802</v>
      </c>
    </row>
    <row r="62" spans="1:8" x14ac:dyDescent="0.4">
      <c r="A62">
        <v>32</v>
      </c>
      <c r="B62">
        <v>0.64960476741992701</v>
      </c>
      <c r="C62">
        <v>1.7263349150062099E-4</v>
      </c>
      <c r="D62">
        <v>0.64934442663016201</v>
      </c>
      <c r="E62">
        <v>2.6034078976500097E-4</v>
      </c>
      <c r="F62" s="1">
        <f t="shared" si="5"/>
        <v>6.777732681546443E-8</v>
      </c>
      <c r="G62">
        <v>42571685</v>
      </c>
      <c r="H62">
        <v>5792</v>
      </c>
    </row>
    <row r="63" spans="1:8" x14ac:dyDescent="0.4">
      <c r="A63">
        <v>45</v>
      </c>
      <c r="B63">
        <v>0.64960476741992701</v>
      </c>
      <c r="C63">
        <v>1.4557734228514199E-4</v>
      </c>
      <c r="D63">
        <v>0.64922761807430696</v>
      </c>
      <c r="E63">
        <v>3.7714934562038601E-4</v>
      </c>
      <c r="F63" s="1">
        <f t="shared" si="5"/>
        <v>1.4224162890188538E-7</v>
      </c>
      <c r="G63">
        <v>62688614</v>
      </c>
      <c r="H63">
        <v>6869</v>
      </c>
    </row>
    <row r="64" spans="1:8" x14ac:dyDescent="0.4">
      <c r="A64">
        <v>64</v>
      </c>
      <c r="B64">
        <v>0.64960476741992701</v>
      </c>
      <c r="C64">
        <v>1.220703125E-4</v>
      </c>
      <c r="D64">
        <v>0.64943584202170201</v>
      </c>
      <c r="E64">
        <v>1.68925398225661E-4</v>
      </c>
      <c r="F64" s="1">
        <f t="shared" si="5"/>
        <v>2.8535790165698151E-8</v>
      </c>
      <c r="G64">
        <v>94300125</v>
      </c>
      <c r="H64">
        <v>8191</v>
      </c>
    </row>
    <row r="65" spans="1:8" x14ac:dyDescent="0.4">
      <c r="A65">
        <v>90</v>
      </c>
      <c r="B65">
        <v>0.64960476741992701</v>
      </c>
      <c r="C65">
        <v>1.02938725916939E-4</v>
      </c>
      <c r="D65">
        <v>0.64947568975647496</v>
      </c>
      <c r="E65">
        <v>1.29077663452159E-4</v>
      </c>
      <c r="F65" s="1">
        <f t="shared" si="5"/>
        <v>1.6661043202268824E-8</v>
      </c>
      <c r="G65">
        <v>229380402</v>
      </c>
      <c r="H65">
        <v>9714</v>
      </c>
    </row>
    <row r="66" spans="1:8" x14ac:dyDescent="0.4">
      <c r="A66">
        <v>8</v>
      </c>
      <c r="B66">
        <v>0.64960476741992701</v>
      </c>
      <c r="C66">
        <v>3.4526698300124301E-4</v>
      </c>
      <c r="D66">
        <v>0.64968391370387002</v>
      </c>
      <c r="E66" s="1">
        <v>7.9146283942565997E-5</v>
      </c>
      <c r="F66" s="1">
        <f t="shared" si="5"/>
        <v>6.2641342619172801E-9</v>
      </c>
      <c r="G66">
        <v>5335825</v>
      </c>
      <c r="H66">
        <v>2896</v>
      </c>
    </row>
    <row r="67" spans="1:8" x14ac:dyDescent="0.4">
      <c r="A67">
        <v>11</v>
      </c>
      <c r="B67">
        <v>0.64960476741992701</v>
      </c>
      <c r="C67">
        <v>2.9444467243922202E-4</v>
      </c>
      <c r="D67">
        <v>0.64937763307580698</v>
      </c>
      <c r="E67">
        <v>2.27134344120027E-4</v>
      </c>
      <c r="F67" s="1">
        <f t="shared" ref="F67:F74" si="7">E67*E67</f>
        <v>5.1590010278834846E-8</v>
      </c>
      <c r="G67">
        <v>7643509</v>
      </c>
      <c r="H67">
        <v>3394</v>
      </c>
    </row>
    <row r="68" spans="1:8" x14ac:dyDescent="0.4">
      <c r="A68">
        <v>16</v>
      </c>
      <c r="B68">
        <v>0.64960476741992701</v>
      </c>
      <c r="C68">
        <v>2.44140625E-4</v>
      </c>
      <c r="D68">
        <v>0.64983392870537005</v>
      </c>
      <c r="E68">
        <v>2.29161285442591E-4</v>
      </c>
      <c r="F68" s="1">
        <f t="shared" si="7"/>
        <v>5.2514894745700672E-8</v>
      </c>
      <c r="G68">
        <v>11793413</v>
      </c>
      <c r="H68">
        <v>4095</v>
      </c>
    </row>
    <row r="69" spans="1:8" x14ac:dyDescent="0.4">
      <c r="A69">
        <v>22</v>
      </c>
      <c r="B69">
        <v>0.64960476741992701</v>
      </c>
      <c r="C69">
        <v>2.0820382456602501E-4</v>
      </c>
      <c r="D69">
        <v>0.650071452457745</v>
      </c>
      <c r="E69">
        <v>4.6668503781799298E-4</v>
      </c>
      <c r="F69" s="1">
        <f t="shared" si="7"/>
        <v>2.1779492452318153E-7</v>
      </c>
      <c r="G69">
        <v>27963940</v>
      </c>
      <c r="H69">
        <v>4802</v>
      </c>
    </row>
    <row r="70" spans="1:8" x14ac:dyDescent="0.4">
      <c r="A70">
        <v>32</v>
      </c>
      <c r="B70">
        <v>0.64960476741992701</v>
      </c>
      <c r="C70">
        <v>1.7263349150062099E-4</v>
      </c>
      <c r="D70">
        <v>0.64929637494999404</v>
      </c>
      <c r="E70">
        <v>3.0839246993286101E-4</v>
      </c>
      <c r="F70" s="1">
        <f t="shared" si="7"/>
        <v>9.5105915511290581E-8</v>
      </c>
      <c r="G70">
        <v>42534000</v>
      </c>
      <c r="H70">
        <v>5792</v>
      </c>
    </row>
    <row r="71" spans="1:8" x14ac:dyDescent="0.4">
      <c r="A71">
        <v>45</v>
      </c>
      <c r="B71">
        <v>0.64960476741992701</v>
      </c>
      <c r="C71">
        <v>1.4557734228514199E-4</v>
      </c>
      <c r="D71">
        <v>0.64968391370387002</v>
      </c>
      <c r="E71" s="1">
        <v>7.9146283942788096E-5</v>
      </c>
      <c r="F71" s="1">
        <f t="shared" si="7"/>
        <v>6.2641342619524369E-9</v>
      </c>
      <c r="G71">
        <v>62738114</v>
      </c>
      <c r="H71">
        <v>6869</v>
      </c>
    </row>
    <row r="72" spans="1:8" x14ac:dyDescent="0.4">
      <c r="A72">
        <v>64</v>
      </c>
      <c r="B72">
        <v>0.64960476741992701</v>
      </c>
      <c r="C72">
        <v>1.220703125E-4</v>
      </c>
      <c r="D72">
        <v>0.64964445663316295</v>
      </c>
      <c r="E72" s="1">
        <v>3.9689213235494202E-5</v>
      </c>
      <c r="F72" s="1">
        <f t="shared" si="7"/>
        <v>1.5752336472525281E-9</v>
      </c>
      <c r="G72">
        <v>94213887</v>
      </c>
      <c r="H72">
        <v>8191</v>
      </c>
    </row>
    <row r="73" spans="1:8" x14ac:dyDescent="0.4">
      <c r="A73">
        <v>90</v>
      </c>
      <c r="B73">
        <v>0.64960476741992701</v>
      </c>
      <c r="C73">
        <v>1.02938725916939E-4</v>
      </c>
      <c r="D73">
        <v>0.64980462890039004</v>
      </c>
      <c r="E73">
        <v>1.9986148046235899E-4</v>
      </c>
      <c r="F73" s="1">
        <f t="shared" si="7"/>
        <v>3.9944611372605906E-8</v>
      </c>
      <c r="G73">
        <v>229479040</v>
      </c>
      <c r="H73">
        <v>9714</v>
      </c>
    </row>
    <row r="74" spans="1:8" x14ac:dyDescent="0.4">
      <c r="A74">
        <v>8</v>
      </c>
      <c r="B74">
        <v>0.64960476741992701</v>
      </c>
      <c r="C74">
        <v>3.4526698300124301E-4</v>
      </c>
      <c r="D74">
        <v>0.64966711514901498</v>
      </c>
      <c r="E74" s="1">
        <v>6.2347729087308597E-5</v>
      </c>
      <c r="F74" s="1">
        <f t="shared" si="7"/>
        <v>3.8872393223444269E-9</v>
      </c>
      <c r="G74">
        <v>5333174</v>
      </c>
      <c r="H74">
        <v>2896</v>
      </c>
    </row>
  </sheetData>
  <phoneticPr fontId="18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RQAE_eps0=2^-10_R=12_deg10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宮本　幸一</cp:lastModifiedBy>
  <dcterms:created xsi:type="dcterms:W3CDTF">2025-02-02T23:36:30Z</dcterms:created>
  <dcterms:modified xsi:type="dcterms:W3CDTF">2025-02-17T03:29:52Z</dcterms:modified>
</cp:coreProperties>
</file>