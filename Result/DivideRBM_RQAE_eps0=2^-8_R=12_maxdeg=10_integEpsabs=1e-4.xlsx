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8_{044D48EF-BB1C-4675-9C27-1A57E06E7E91}" xr6:coauthVersionLast="47" xr6:coauthVersionMax="47" xr10:uidLastSave="{00000000-0000-0000-0000-000000000000}"/>
  <bookViews>
    <workbookView xWindow="-120" yWindow="-120" windowWidth="20730" windowHeight="11040" xr2:uid="{DDFBC754-980A-4BFD-AE2C-311ED991EAD0}"/>
  </bookViews>
  <sheets>
    <sheet name="DivideRBM_RQAE_eps0=2^-8_R=12_m" sheetId="1" r:id="rId1"/>
  </sheets>
  <calcPr calcId="0"/>
</workbook>
</file>

<file path=xl/calcChain.xml><?xml version="1.0" encoding="utf-8"?>
<calcChain xmlns="http://schemas.openxmlformats.org/spreadsheetml/2006/main">
  <c r="N9" i="1" l="1"/>
  <c r="M9" i="1"/>
  <c r="L9" i="1"/>
  <c r="P9" i="1" s="1"/>
  <c r="K9" i="1"/>
  <c r="P8" i="1"/>
  <c r="N8" i="1"/>
  <c r="M8" i="1"/>
  <c r="L8" i="1"/>
  <c r="K8" i="1"/>
  <c r="N7" i="1"/>
  <c r="M7" i="1"/>
  <c r="L7" i="1"/>
  <c r="P7" i="1" s="1"/>
  <c r="K7" i="1"/>
  <c r="N6" i="1"/>
  <c r="M6" i="1"/>
  <c r="L6" i="1"/>
  <c r="P6" i="1" s="1"/>
  <c r="K6" i="1"/>
  <c r="P5" i="1"/>
  <c r="N5" i="1"/>
  <c r="M5" i="1"/>
  <c r="L5" i="1"/>
  <c r="K5" i="1"/>
  <c r="N4" i="1"/>
  <c r="M4" i="1"/>
  <c r="L4" i="1"/>
  <c r="P4" i="1" s="1"/>
  <c r="K4" i="1"/>
  <c r="N3" i="1"/>
  <c r="M3" i="1"/>
  <c r="L3" i="1"/>
  <c r="P3" i="1" s="1"/>
  <c r="K3" i="1"/>
  <c r="P2" i="1"/>
  <c r="N2" i="1"/>
  <c r="M2" i="1"/>
  <c r="L2" i="1"/>
  <c r="K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2" i="1"/>
</calcChain>
</file>

<file path=xl/sharedStrings.xml><?xml version="1.0" encoding="utf-8"?>
<sst xmlns="http://schemas.openxmlformats.org/spreadsheetml/2006/main" count="14" uniqueCount="12">
  <si>
    <t>N</t>
  </si>
  <si>
    <t>pTrue</t>
  </si>
  <si>
    <t>eps</t>
  </si>
  <si>
    <t>pEst</t>
  </si>
  <si>
    <t>absErr</t>
  </si>
  <si>
    <t>totalQueryNum</t>
  </si>
  <si>
    <t>maxDepth</t>
  </si>
  <si>
    <t>errSq</t>
    <phoneticPr fontId="18"/>
  </si>
  <si>
    <t>absErrAve</t>
    <phoneticPr fontId="18"/>
  </si>
  <si>
    <t>RMSE</t>
    <phoneticPr fontId="18"/>
  </si>
  <si>
    <t>totalQueryNum</t>
    <phoneticPr fontId="18"/>
  </si>
  <si>
    <t>同じRMSEを達成するのに必要な古典モンテサンプル数</t>
    <rPh sb="0" eb="1">
      <t>オナ</t>
    </rPh>
    <rPh sb="7" eb="9">
      <t>タッセイ</t>
    </rPh>
    <rPh sb="13" eb="15">
      <t>ヒツヨウ</t>
    </rPh>
    <rPh sb="16" eb="18">
      <t>コテン</t>
    </rPh>
    <rPh sb="25" eb="26">
      <t>スウ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</si>
</sst>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79" fontId="0" fillId="0" borderId="0" xfId="0" applyNumberFormat="1">
      <alignment vertical="center"/>
    </xf>
    <xf numFmtId="38" fontId="0" fillId="0" borderId="0" xfId="1" applyFont="1">
      <alignment vertical="center"/>
    </xf>
    <xf numFmtId="1" fontId="0" fillId="0" borderId="0" xfId="0" applyNumberForma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'DivideRBM_RQAE_eps0=2^-8_R=12_m'!$M$1</c:f>
              <c:strCache>
                <c:ptCount val="1"/>
                <c:pt idx="0">
                  <c:v>totalQueryNum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'DivideRBM_RQAE_eps0=2^-8_R=12_m'!$J$2:$J$9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'DivideRBM_RQAE_eps0=2^-8_R=12_m'!$M$2:$M$9</c:f>
              <c:numCache>
                <c:formatCode>#,##0_);[Red]\(#,##0\)</c:formatCode>
                <c:ptCount val="8"/>
                <c:pt idx="0">
                  <c:v>1324159.1000000001</c:v>
                </c:pt>
                <c:pt idx="1">
                  <c:v>1905112.1</c:v>
                </c:pt>
                <c:pt idx="2">
                  <c:v>2937440.1</c:v>
                </c:pt>
                <c:pt idx="3">
                  <c:v>6973250.2000000002</c:v>
                </c:pt>
                <c:pt idx="4">
                  <c:v>10625160.9</c:v>
                </c:pt>
                <c:pt idx="5">
                  <c:v>15656651.9</c:v>
                </c:pt>
                <c:pt idx="6">
                  <c:v>23530416.399999999</c:v>
                </c:pt>
                <c:pt idx="7">
                  <c:v>57250167.625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08-452A-866C-3D6397DB0CDC}"/>
            </c:ext>
          </c:extLst>
        </c:ser>
        <c:ser>
          <c:idx val="1"/>
          <c:order val="1"/>
          <c:tx>
            <c:strRef>
              <c:f>'DivideRBM_RQAE_eps0=2^-8_R=12_m'!$P$1</c:f>
              <c:strCache>
                <c:ptCount val="1"/>
                <c:pt idx="0">
                  <c:v>同じRMSEを達成するのに必要な古典モンテサンプル数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'DivideRBM_RQAE_eps0=2^-8_R=12_m'!$J$2:$J$9</c:f>
              <c:numCache>
                <c:formatCode>General</c:formatCode>
                <c:ptCount val="8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</c:numCache>
            </c:numRef>
          </c:xVal>
          <c:yVal>
            <c:numRef>
              <c:f>'DivideRBM_RQAE_eps0=2^-8_R=12_m'!$P$2:$P$9</c:f>
              <c:numCache>
                <c:formatCode>#,##0_);[Red]\(#,##0\)</c:formatCode>
                <c:ptCount val="8"/>
                <c:pt idx="0">
                  <c:v>5936376.644195457</c:v>
                </c:pt>
                <c:pt idx="1">
                  <c:v>8114535.4219214227</c:v>
                </c:pt>
                <c:pt idx="2">
                  <c:v>3829373.8325180993</c:v>
                </c:pt>
                <c:pt idx="3">
                  <c:v>13653129.109271333</c:v>
                </c:pt>
                <c:pt idx="4">
                  <c:v>20149179.40048863</c:v>
                </c:pt>
                <c:pt idx="5">
                  <c:v>52171763.824922092</c:v>
                </c:pt>
                <c:pt idx="6">
                  <c:v>74869329.879273564</c:v>
                </c:pt>
                <c:pt idx="7">
                  <c:v>61007869.16034776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08-452A-866C-3D6397DB0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695600"/>
        <c:axId val="1102700880"/>
      </c:scatterChart>
      <c:valAx>
        <c:axId val="1102695600"/>
        <c:scaling>
          <c:logBase val="10"/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700880"/>
        <c:crosses val="autoZero"/>
        <c:crossBetween val="midCat"/>
      </c:valAx>
      <c:valAx>
        <c:axId val="1102700880"/>
        <c:scaling>
          <c:logBase val="10"/>
          <c:orientation val="minMax"/>
          <c:min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2695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9</xdr:row>
      <xdr:rowOff>76200</xdr:rowOff>
    </xdr:from>
    <xdr:to>
      <xdr:col>15</xdr:col>
      <xdr:colOff>3486150</xdr:colOff>
      <xdr:row>19</xdr:row>
      <xdr:rowOff>233362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4D9CEE-C6DE-B276-DD7F-69ACC7524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32EA-BAB9-471F-AFF2-8FC10C78FD9E}">
  <dimension ref="A1:Q79"/>
  <sheetViews>
    <sheetView tabSelected="1" topLeftCell="G1" workbookViewId="0">
      <selection activeCell="Q13" sqref="Q13"/>
    </sheetView>
  </sheetViews>
  <sheetFormatPr defaultRowHeight="18.75" x14ac:dyDescent="0.4"/>
  <cols>
    <col min="13" max="13" width="14.875" bestFit="1" customWidth="1"/>
    <col min="16" max="16" width="51.75" bestFit="1" customWidth="1"/>
    <col min="17" max="17" width="14.87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J1" t="s">
        <v>0</v>
      </c>
      <c r="K1" t="s">
        <v>8</v>
      </c>
      <c r="L1" t="s">
        <v>9</v>
      </c>
      <c r="M1" t="s">
        <v>10</v>
      </c>
      <c r="N1" t="s">
        <v>6</v>
      </c>
      <c r="P1" t="s">
        <v>11</v>
      </c>
    </row>
    <row r="2" spans="1:17" x14ac:dyDescent="0.4">
      <c r="A2">
        <v>8</v>
      </c>
      <c r="B2">
        <v>0.64960476741992701</v>
      </c>
      <c r="C2">
        <v>1.3810679320049701E-3</v>
      </c>
      <c r="D2">
        <v>0.650112862848785</v>
      </c>
      <c r="E2">
        <v>5.0809542885721305E-4</v>
      </c>
      <c r="F2">
        <f>E2*E2</f>
        <v>2.5816096482559526E-7</v>
      </c>
      <c r="G2">
        <v>1326039</v>
      </c>
      <c r="H2">
        <v>724</v>
      </c>
      <c r="J2">
        <v>8</v>
      </c>
      <c r="K2" s="2">
        <f t="shared" ref="K2:K10" si="0">AVERAGEIF($A$2:$A$1048576,$J2,$E$2:$E$1048576)</f>
        <v>6.3097625785145492E-4</v>
      </c>
      <c r="L2" s="2">
        <f>SQRT(AVERAGEIF($A$2:$A$1048576,$J2,$F$2:$F$1048576))</f>
        <v>8.0183704647156522E-4</v>
      </c>
      <c r="M2" s="3">
        <f t="shared" ref="M2:M10" si="1">AVERAGEIF($A$2:$A$1048576,$J2,$G$2:$G$1048576)</f>
        <v>1324159.1000000001</v>
      </c>
      <c r="N2" s="4">
        <f t="shared" ref="N2:N10" si="2">AVERAGEIF($A$2:$A$1048576,$J2,$H$2:$H$1048576)</f>
        <v>724</v>
      </c>
      <c r="P2" s="3">
        <f t="shared" ref="P2" si="3">J2/L2/L2*SQRT($B$2*(1-$B$2))</f>
        <v>5936376.644195457</v>
      </c>
      <c r="Q2" s="3"/>
    </row>
    <row r="3" spans="1:17" x14ac:dyDescent="0.4">
      <c r="A3">
        <v>11</v>
      </c>
      <c r="B3">
        <v>0.64960476741992701</v>
      </c>
      <c r="C3">
        <v>1.1777786897568801E-3</v>
      </c>
      <c r="D3">
        <v>0.64985424323682295</v>
      </c>
      <c r="E3">
        <v>2.4947581689593803E-4</v>
      </c>
      <c r="F3">
        <f t="shared" ref="F3:F66" si="4">E3*E3</f>
        <v>6.2238183215895602E-8</v>
      </c>
      <c r="G3">
        <v>1907609</v>
      </c>
      <c r="H3">
        <v>849</v>
      </c>
      <c r="J3">
        <v>11</v>
      </c>
      <c r="K3" s="2">
        <f t="shared" si="0"/>
        <v>6.1892908040802577E-4</v>
      </c>
      <c r="L3" s="2">
        <f t="shared" ref="L3:L8" si="5">SQRT(AVERAGEIF($A$2:$A$1048576,$J3,$F$2:$F$1048576))</f>
        <v>8.0420424353400024E-4</v>
      </c>
      <c r="M3" s="3">
        <f t="shared" si="1"/>
        <v>1905112.1</v>
      </c>
      <c r="N3" s="4">
        <f t="shared" si="2"/>
        <v>848.9</v>
      </c>
      <c r="P3" s="3">
        <f>J3/L3/L3*SQRT($B$2*(1-$B$2))</f>
        <v>8114535.4219214227</v>
      </c>
      <c r="Q3" s="3"/>
    </row>
    <row r="4" spans="1:17" x14ac:dyDescent="0.4">
      <c r="A4">
        <v>16</v>
      </c>
      <c r="B4">
        <v>0.64960476741992701</v>
      </c>
      <c r="C4">
        <v>9.765625E-4</v>
      </c>
      <c r="D4">
        <v>0.64859396095859501</v>
      </c>
      <c r="E4">
        <v>1.01080646133211E-3</v>
      </c>
      <c r="F4">
        <f t="shared" si="4"/>
        <v>1.0217297022707425E-6</v>
      </c>
      <c r="G4">
        <v>2920667</v>
      </c>
      <c r="H4">
        <v>1023</v>
      </c>
      <c r="J4">
        <v>16</v>
      </c>
      <c r="K4" s="2">
        <f t="shared" si="0"/>
        <v>1.168866886688678E-3</v>
      </c>
      <c r="L4" s="2">
        <f t="shared" si="5"/>
        <v>1.411880554135925E-3</v>
      </c>
      <c r="M4" s="3">
        <f t="shared" si="1"/>
        <v>2937440.1</v>
      </c>
      <c r="N4" s="4">
        <f t="shared" si="2"/>
        <v>1022.9</v>
      </c>
      <c r="P4" s="3">
        <f>J4/L4/L4*SQRT($B$2*(1-$B$2))</f>
        <v>3829373.8325180993</v>
      </c>
      <c r="Q4" s="3"/>
    </row>
    <row r="5" spans="1:17" x14ac:dyDescent="0.4">
      <c r="A5">
        <v>22</v>
      </c>
      <c r="B5">
        <v>0.64960476741992701</v>
      </c>
      <c r="C5">
        <v>8.3281529826410297E-4</v>
      </c>
      <c r="D5">
        <v>0.65014489730223002</v>
      </c>
      <c r="E5">
        <v>5.4012988230234195E-4</v>
      </c>
      <c r="F5">
        <f t="shared" si="4"/>
        <v>2.9174028975594179E-7</v>
      </c>
      <c r="G5">
        <v>6966131</v>
      </c>
      <c r="H5">
        <v>1200</v>
      </c>
      <c r="J5">
        <v>22</v>
      </c>
      <c r="K5" s="2">
        <f t="shared" si="0"/>
        <v>6.9892971910899657E-4</v>
      </c>
      <c r="L5" s="2">
        <f t="shared" si="5"/>
        <v>8.767930322703078E-4</v>
      </c>
      <c r="M5" s="3">
        <f t="shared" si="1"/>
        <v>6973250.2000000002</v>
      </c>
      <c r="N5" s="4">
        <f t="shared" si="2"/>
        <v>1200</v>
      </c>
      <c r="P5" s="3">
        <f>J5/L5/L5*SQRT($B$2*(1-$B$2))</f>
        <v>13653129.109271333</v>
      </c>
      <c r="Q5" s="3"/>
    </row>
    <row r="6" spans="1:17" x14ac:dyDescent="0.4">
      <c r="A6">
        <v>32</v>
      </c>
      <c r="B6">
        <v>0.64960476741992701</v>
      </c>
      <c r="C6">
        <v>6.90533966002487E-4</v>
      </c>
      <c r="D6">
        <v>0.65020701288878802</v>
      </c>
      <c r="E6">
        <v>6.0224546886111698E-4</v>
      </c>
      <c r="F6">
        <f t="shared" si="4"/>
        <v>3.6269960476374661E-7</v>
      </c>
      <c r="G6">
        <v>10628868</v>
      </c>
      <c r="H6">
        <v>1448</v>
      </c>
      <c r="J6">
        <v>32</v>
      </c>
      <c r="K6" s="2">
        <f t="shared" si="0"/>
        <v>7.3249512451248788E-4</v>
      </c>
      <c r="L6" s="2">
        <f t="shared" si="5"/>
        <v>8.7045867004054915E-4</v>
      </c>
      <c r="M6" s="3">
        <f t="shared" si="1"/>
        <v>10625160.9</v>
      </c>
      <c r="N6" s="4">
        <f t="shared" si="2"/>
        <v>1448</v>
      </c>
      <c r="P6" s="3">
        <f t="shared" ref="P6:P10" si="6">J6/L6/L6*SQRT($B$2*(1-$B$2))</f>
        <v>20149179.40048863</v>
      </c>
      <c r="Q6" s="3"/>
    </row>
    <row r="7" spans="1:17" x14ac:dyDescent="0.4">
      <c r="A7">
        <v>45</v>
      </c>
      <c r="B7">
        <v>0.64960476741992701</v>
      </c>
      <c r="C7">
        <v>5.8230936914057004E-4</v>
      </c>
      <c r="D7">
        <v>0.64848809099659899</v>
      </c>
      <c r="E7">
        <v>1.1166764233282399E-3</v>
      </c>
      <c r="F7">
        <f t="shared" si="4"/>
        <v>1.2469662344171504E-6</v>
      </c>
      <c r="G7">
        <v>15672554</v>
      </c>
      <c r="H7">
        <v>1717</v>
      </c>
      <c r="J7">
        <v>45</v>
      </c>
      <c r="K7" s="2">
        <f t="shared" si="0"/>
        <v>4.9158957486898852E-4</v>
      </c>
      <c r="L7" s="2">
        <f t="shared" si="5"/>
        <v>6.414906712376735E-4</v>
      </c>
      <c r="M7" s="3">
        <f t="shared" si="1"/>
        <v>15656651.9</v>
      </c>
      <c r="N7" s="4">
        <f t="shared" si="2"/>
        <v>1717</v>
      </c>
      <c r="P7" s="3">
        <f t="shared" si="6"/>
        <v>52171763.824922092</v>
      </c>
      <c r="Q7" s="3"/>
    </row>
    <row r="8" spans="1:17" x14ac:dyDescent="0.4">
      <c r="A8">
        <v>64</v>
      </c>
      <c r="B8">
        <v>0.64960476741992701</v>
      </c>
      <c r="C8">
        <v>4.8828125E-4</v>
      </c>
      <c r="D8">
        <v>0.64908580701820195</v>
      </c>
      <c r="E8">
        <v>5.1896040172583202E-4</v>
      </c>
      <c r="F8">
        <f t="shared" si="4"/>
        <v>2.6931989855943697E-7</v>
      </c>
      <c r="G8">
        <v>23519329</v>
      </c>
      <c r="H8">
        <v>2047</v>
      </c>
      <c r="J8">
        <v>64</v>
      </c>
      <c r="K8" s="2">
        <f t="shared" si="0"/>
        <v>5.7598037531181247E-4</v>
      </c>
      <c r="L8" s="2">
        <f t="shared" si="5"/>
        <v>6.3861609822621367E-4</v>
      </c>
      <c r="M8" s="3">
        <f t="shared" si="1"/>
        <v>23530416.399999999</v>
      </c>
      <c r="N8" s="4">
        <f t="shared" si="2"/>
        <v>2047</v>
      </c>
      <c r="P8" s="3">
        <f t="shared" si="6"/>
        <v>74869329.879273564</v>
      </c>
      <c r="Q8" s="3"/>
    </row>
    <row r="9" spans="1:17" x14ac:dyDescent="0.4">
      <c r="A9">
        <v>8</v>
      </c>
      <c r="B9">
        <v>0.64960476741992701</v>
      </c>
      <c r="C9">
        <v>1.3810679320049701E-3</v>
      </c>
      <c r="D9">
        <v>0.64987299511201102</v>
      </c>
      <c r="E9">
        <v>2.6822769208334398E-4</v>
      </c>
      <c r="F9">
        <f t="shared" si="4"/>
        <v>7.1946094800357195E-8</v>
      </c>
      <c r="G9">
        <v>1324196</v>
      </c>
      <c r="H9">
        <v>724</v>
      </c>
      <c r="J9">
        <v>90</v>
      </c>
      <c r="K9" s="2">
        <f t="shared" si="0"/>
        <v>6.1695622687277165E-4</v>
      </c>
      <c r="L9" s="2">
        <f>SQRT(AVERAGEIF($A$2:$A$1048576,$J9,$F$2:$F$1048576))</f>
        <v>8.3893859519543982E-4</v>
      </c>
      <c r="M9" s="3">
        <f t="shared" si="1"/>
        <v>57250167.625</v>
      </c>
      <c r="N9" s="4">
        <f t="shared" si="2"/>
        <v>2428</v>
      </c>
      <c r="P9" s="3">
        <f t="shared" si="6"/>
        <v>61007869.16034776</v>
      </c>
      <c r="Q9" s="3"/>
    </row>
    <row r="10" spans="1:17" x14ac:dyDescent="0.4">
      <c r="A10">
        <v>11</v>
      </c>
      <c r="B10">
        <v>0.64960476741992701</v>
      </c>
      <c r="C10">
        <v>1.1777786897568801E-3</v>
      </c>
      <c r="D10">
        <v>0.65055861054855402</v>
      </c>
      <c r="E10">
        <v>9.5384312862711797E-4</v>
      </c>
      <c r="F10">
        <f t="shared" si="4"/>
        <v>9.0981671402916877E-7</v>
      </c>
      <c r="G10">
        <v>1912531</v>
      </c>
      <c r="H10">
        <v>849</v>
      </c>
      <c r="J10">
        <v>128</v>
      </c>
      <c r="K10" s="2"/>
      <c r="L10" s="2"/>
      <c r="M10" s="3"/>
      <c r="N10" s="4"/>
      <c r="P10" s="3"/>
      <c r="Q10" s="3"/>
    </row>
    <row r="11" spans="1:17" x14ac:dyDescent="0.4">
      <c r="A11">
        <v>16</v>
      </c>
      <c r="B11">
        <v>0.64960476741992701</v>
      </c>
      <c r="C11">
        <v>9.765625E-4</v>
      </c>
      <c r="D11">
        <v>0.64925066725422498</v>
      </c>
      <c r="E11">
        <v>3.5410016570236398E-4</v>
      </c>
      <c r="F11">
        <f t="shared" si="4"/>
        <v>1.2538692735044163E-7</v>
      </c>
      <c r="G11">
        <v>2953476</v>
      </c>
      <c r="H11">
        <v>1023</v>
      </c>
    </row>
    <row r="12" spans="1:17" x14ac:dyDescent="0.4">
      <c r="A12">
        <v>22</v>
      </c>
      <c r="B12">
        <v>0.64960476741992701</v>
      </c>
      <c r="C12">
        <v>8.3281529826410297E-4</v>
      </c>
      <c r="D12">
        <v>0.64932723741124099</v>
      </c>
      <c r="E12">
        <v>2.7753000868657702E-4</v>
      </c>
      <c r="F12">
        <f t="shared" si="4"/>
        <v>7.7022905721571513E-8</v>
      </c>
      <c r="G12">
        <v>6976829</v>
      </c>
      <c r="H12">
        <v>1200</v>
      </c>
    </row>
    <row r="13" spans="1:17" x14ac:dyDescent="0.4">
      <c r="A13">
        <v>32</v>
      </c>
      <c r="B13">
        <v>0.64960476741992701</v>
      </c>
      <c r="C13">
        <v>6.90533966002487E-4</v>
      </c>
      <c r="D13">
        <v>0.64894399596209595</v>
      </c>
      <c r="E13">
        <v>6.6077145783172099E-4</v>
      </c>
      <c r="F13">
        <f t="shared" si="4"/>
        <v>4.3661891948505781E-7</v>
      </c>
      <c r="G13">
        <v>10619010</v>
      </c>
      <c r="H13">
        <v>1448</v>
      </c>
    </row>
    <row r="14" spans="1:17" x14ac:dyDescent="0.4">
      <c r="A14">
        <v>45</v>
      </c>
      <c r="B14">
        <v>0.64960476741992701</v>
      </c>
      <c r="C14">
        <v>5.8230936914057004E-4</v>
      </c>
      <c r="D14">
        <v>0.64888734967246697</v>
      </c>
      <c r="E14">
        <v>7.1741774746036902E-4</v>
      </c>
      <c r="F14">
        <f t="shared" si="4"/>
        <v>5.1468822437110978E-7</v>
      </c>
      <c r="G14">
        <v>15657876</v>
      </c>
      <c r="H14">
        <v>1717</v>
      </c>
    </row>
    <row r="15" spans="1:17" x14ac:dyDescent="0.4">
      <c r="A15">
        <v>64</v>
      </c>
      <c r="B15">
        <v>0.64960476741992701</v>
      </c>
      <c r="C15">
        <v>4.8828125E-4</v>
      </c>
      <c r="D15">
        <v>0.65011325351285099</v>
      </c>
      <c r="E15">
        <v>5.0848609292364301E-4</v>
      </c>
      <c r="F15">
        <f t="shared" si="4"/>
        <v>2.5855810669675169E-7</v>
      </c>
      <c r="G15">
        <v>23510424</v>
      </c>
      <c r="H15">
        <v>2047</v>
      </c>
    </row>
    <row r="16" spans="1:17" x14ac:dyDescent="0.4">
      <c r="A16">
        <v>90</v>
      </c>
      <c r="B16">
        <v>0.64960476741992701</v>
      </c>
      <c r="C16">
        <v>4.1175490366775701E-4</v>
      </c>
      <c r="D16">
        <v>0.64964836327382702</v>
      </c>
      <c r="E16" s="1">
        <v>4.3595853899791497E-5</v>
      </c>
      <c r="F16">
        <f t="shared" si="4"/>
        <v>1.9005984772519655E-9</v>
      </c>
      <c r="G16">
        <v>57279930</v>
      </c>
      <c r="H16">
        <v>2428</v>
      </c>
    </row>
    <row r="17" spans="1:8" x14ac:dyDescent="0.4">
      <c r="A17">
        <v>8</v>
      </c>
      <c r="B17">
        <v>0.64960476741992701</v>
      </c>
      <c r="C17">
        <v>1.3810679320049701E-3</v>
      </c>
      <c r="D17">
        <v>0.65039218765626505</v>
      </c>
      <c r="E17">
        <v>7.87420236337821E-4</v>
      </c>
      <c r="F17">
        <f t="shared" si="4"/>
        <v>6.200306285943099E-7</v>
      </c>
      <c r="G17">
        <v>1323681</v>
      </c>
      <c r="H17">
        <v>724</v>
      </c>
    </row>
    <row r="18" spans="1:8" x14ac:dyDescent="0.4">
      <c r="A18">
        <v>11</v>
      </c>
      <c r="B18">
        <v>0.64960476741992701</v>
      </c>
      <c r="C18">
        <v>1.1777786897568801E-3</v>
      </c>
      <c r="D18">
        <v>0.64961711014851498</v>
      </c>
      <c r="E18" s="1">
        <v>1.23427285871891E-5</v>
      </c>
      <c r="F18">
        <f t="shared" si="4"/>
        <v>1.5234294897701503E-10</v>
      </c>
      <c r="G18">
        <v>1906577</v>
      </c>
      <c r="H18">
        <v>849</v>
      </c>
    </row>
    <row r="19" spans="1:8" x14ac:dyDescent="0.4">
      <c r="A19">
        <v>16</v>
      </c>
      <c r="B19">
        <v>0.64960476741992701</v>
      </c>
      <c r="C19">
        <v>9.765625E-4</v>
      </c>
      <c r="D19">
        <v>0.65061408484598404</v>
      </c>
      <c r="E19">
        <v>1.0093174260568101E-3</v>
      </c>
      <c r="F19">
        <f t="shared" si="4"/>
        <v>1.0187216665419443E-6</v>
      </c>
      <c r="G19">
        <v>2951108</v>
      </c>
      <c r="H19">
        <v>1023</v>
      </c>
    </row>
    <row r="20" spans="1:8" x14ac:dyDescent="0.4">
      <c r="A20">
        <v>22</v>
      </c>
      <c r="B20">
        <v>0.64960476741992701</v>
      </c>
      <c r="C20">
        <v>8.3281529826410297E-4</v>
      </c>
      <c r="D20">
        <v>0.64867951638913901</v>
      </c>
      <c r="E20">
        <v>9.2525103078877602E-4</v>
      </c>
      <c r="F20">
        <f t="shared" si="4"/>
        <v>8.5608946997569256E-7</v>
      </c>
      <c r="G20">
        <v>6975812</v>
      </c>
      <c r="H20">
        <v>1200</v>
      </c>
    </row>
    <row r="21" spans="1:8" x14ac:dyDescent="0.4">
      <c r="A21">
        <v>32</v>
      </c>
      <c r="B21">
        <v>0.64960476741992701</v>
      </c>
      <c r="C21">
        <v>6.90533966002487E-4</v>
      </c>
      <c r="D21">
        <v>0.64856895845834495</v>
      </c>
      <c r="E21">
        <v>1.03580896158195E-3</v>
      </c>
      <c r="F21">
        <f t="shared" si="4"/>
        <v>1.0729002048934775E-6</v>
      </c>
      <c r="G21">
        <v>10625641</v>
      </c>
      <c r="H21">
        <v>1448</v>
      </c>
    </row>
    <row r="22" spans="1:8" x14ac:dyDescent="0.4">
      <c r="A22">
        <v>45</v>
      </c>
      <c r="B22">
        <v>0.64960476741992701</v>
      </c>
      <c r="C22">
        <v>5.8230936914057004E-4</v>
      </c>
      <c r="D22">
        <v>0.649935501362636</v>
      </c>
      <c r="E22">
        <v>3.3073394270832698E-4</v>
      </c>
      <c r="F22">
        <f t="shared" si="4"/>
        <v>1.0938494085939491E-7</v>
      </c>
      <c r="G22">
        <v>15677704</v>
      </c>
      <c r="H22">
        <v>1717</v>
      </c>
    </row>
    <row r="23" spans="1:8" x14ac:dyDescent="0.4">
      <c r="A23">
        <v>64</v>
      </c>
      <c r="B23">
        <v>0.64960476741992701</v>
      </c>
      <c r="C23">
        <v>4.8828125E-4</v>
      </c>
      <c r="D23">
        <v>0.64945459389688898</v>
      </c>
      <c r="E23">
        <v>1.5017352303814399E-4</v>
      </c>
      <c r="F23">
        <f t="shared" si="4"/>
        <v>2.2552087021687965E-8</v>
      </c>
      <c r="G23">
        <v>23567955</v>
      </c>
      <c r="H23">
        <v>2047</v>
      </c>
    </row>
    <row r="24" spans="1:8" x14ac:dyDescent="0.4">
      <c r="A24">
        <v>90</v>
      </c>
      <c r="B24">
        <v>0.64960476741992701</v>
      </c>
      <c r="C24">
        <v>4.1175490366775701E-4</v>
      </c>
      <c r="D24">
        <v>0.65084027934043398</v>
      </c>
      <c r="E24">
        <v>1.2355119205061901E-3</v>
      </c>
      <c r="F24">
        <f t="shared" si="4"/>
        <v>1.526489705712894E-6</v>
      </c>
      <c r="G24">
        <v>57211597</v>
      </c>
      <c r="H24">
        <v>2428</v>
      </c>
    </row>
    <row r="25" spans="1:8" x14ac:dyDescent="0.4">
      <c r="A25">
        <v>8</v>
      </c>
      <c r="B25">
        <v>0.64960476741992701</v>
      </c>
      <c r="C25">
        <v>1.3810679320049701E-3</v>
      </c>
      <c r="D25">
        <v>0.64946709514701395</v>
      </c>
      <c r="E25">
        <v>1.3767227291316901E-4</v>
      </c>
      <c r="F25">
        <f t="shared" si="4"/>
        <v>1.8953654729078091E-8</v>
      </c>
      <c r="G25">
        <v>1321729</v>
      </c>
      <c r="H25">
        <v>724</v>
      </c>
    </row>
    <row r="26" spans="1:8" x14ac:dyDescent="0.4">
      <c r="A26">
        <v>11</v>
      </c>
      <c r="B26">
        <v>0.64960476741992701</v>
      </c>
      <c r="C26">
        <v>1.1777786897568801E-3</v>
      </c>
      <c r="D26">
        <v>0.64956046385888599</v>
      </c>
      <c r="E26" s="1">
        <v>4.43035610417918E-5</v>
      </c>
      <c r="F26">
        <f t="shared" si="4"/>
        <v>1.9628055209837722E-9</v>
      </c>
      <c r="G26">
        <v>1906274</v>
      </c>
      <c r="H26">
        <v>849</v>
      </c>
    </row>
    <row r="27" spans="1:8" x14ac:dyDescent="0.4">
      <c r="A27">
        <v>16</v>
      </c>
      <c r="B27">
        <v>0.64960476741992701</v>
      </c>
      <c r="C27">
        <v>9.765625E-4</v>
      </c>
      <c r="D27">
        <v>0.64832205876837601</v>
      </c>
      <c r="E27">
        <v>1.2827086515508901E-3</v>
      </c>
      <c r="F27">
        <f t="shared" si="4"/>
        <v>1.6453414847635029E-6</v>
      </c>
      <c r="G27">
        <v>2934390</v>
      </c>
      <c r="H27">
        <v>1023</v>
      </c>
    </row>
    <row r="28" spans="1:8" x14ac:dyDescent="0.4">
      <c r="A28">
        <v>22</v>
      </c>
      <c r="B28">
        <v>0.64960476741992701</v>
      </c>
      <c r="C28">
        <v>8.3281529826410297E-4</v>
      </c>
      <c r="D28">
        <v>0.648685767014201</v>
      </c>
      <c r="E28">
        <v>9.19000405726233E-4</v>
      </c>
      <c r="F28">
        <f t="shared" si="4"/>
        <v>8.4456174572498086E-7</v>
      </c>
      <c r="G28">
        <v>6955963</v>
      </c>
      <c r="H28">
        <v>1200</v>
      </c>
    </row>
    <row r="29" spans="1:8" x14ac:dyDescent="0.4">
      <c r="A29">
        <v>32</v>
      </c>
      <c r="B29">
        <v>0.64960476741992701</v>
      </c>
      <c r="C29">
        <v>6.90533966002487E-4</v>
      </c>
      <c r="D29">
        <v>0.65146963915141498</v>
      </c>
      <c r="E29">
        <v>1.86487173148719E-3</v>
      </c>
      <c r="F29">
        <f t="shared" si="4"/>
        <v>3.47774657490003E-6</v>
      </c>
      <c r="G29">
        <v>10622932</v>
      </c>
      <c r="H29">
        <v>1448</v>
      </c>
    </row>
    <row r="30" spans="1:8" x14ac:dyDescent="0.4">
      <c r="A30">
        <v>45</v>
      </c>
      <c r="B30">
        <v>0.64960476741992701</v>
      </c>
      <c r="C30">
        <v>5.8230936914057004E-4</v>
      </c>
      <c r="D30">
        <v>0.64959679561706096</v>
      </c>
      <c r="E30" s="1">
        <v>7.9718028661579493E-6</v>
      </c>
      <c r="F30">
        <f t="shared" si="4"/>
        <v>6.3549640936884099E-11</v>
      </c>
      <c r="G30">
        <v>15648671</v>
      </c>
      <c r="H30">
        <v>1717</v>
      </c>
    </row>
    <row r="31" spans="1:8" x14ac:dyDescent="0.4">
      <c r="A31">
        <v>64</v>
      </c>
      <c r="B31">
        <v>0.64960476741992701</v>
      </c>
      <c r="C31">
        <v>4.8828125E-4</v>
      </c>
      <c r="D31">
        <v>0.65028827101460096</v>
      </c>
      <c r="E31">
        <v>6.8350359467350599E-4</v>
      </c>
      <c r="F31">
        <f t="shared" si="4"/>
        <v>4.6717716393160438E-7</v>
      </c>
      <c r="G31">
        <v>23552329</v>
      </c>
      <c r="H31">
        <v>2047</v>
      </c>
    </row>
    <row r="32" spans="1:8" x14ac:dyDescent="0.4">
      <c r="A32">
        <v>90</v>
      </c>
      <c r="B32">
        <v>0.64960476741992701</v>
      </c>
      <c r="C32">
        <v>4.1175490366775701E-4</v>
      </c>
      <c r="D32">
        <v>0.64982728741624096</v>
      </c>
      <c r="E32">
        <v>2.2251999631395201E-4</v>
      </c>
      <c r="F32">
        <f t="shared" si="4"/>
        <v>4.9515148759561216E-8</v>
      </c>
      <c r="G32">
        <v>57253401</v>
      </c>
      <c r="H32">
        <v>2428</v>
      </c>
    </row>
    <row r="33" spans="1:8" x14ac:dyDescent="0.4">
      <c r="A33">
        <v>8</v>
      </c>
      <c r="B33">
        <v>0.64960476741992701</v>
      </c>
      <c r="C33">
        <v>1.3810679320049701E-3</v>
      </c>
      <c r="D33">
        <v>0.64856661447394703</v>
      </c>
      <c r="E33">
        <v>1.03815294598041E-3</v>
      </c>
      <c r="F33">
        <f t="shared" si="4"/>
        <v>1.0777615392478039E-6</v>
      </c>
      <c r="G33">
        <v>1330340</v>
      </c>
      <c r="H33">
        <v>724</v>
      </c>
    </row>
    <row r="34" spans="1:8" x14ac:dyDescent="0.4">
      <c r="A34">
        <v>11</v>
      </c>
      <c r="B34">
        <v>0.64960476741992701</v>
      </c>
      <c r="C34">
        <v>1.1777786897568801E-3</v>
      </c>
      <c r="D34">
        <v>0.64897407709520905</v>
      </c>
      <c r="E34">
        <v>6.3069032471818598E-4</v>
      </c>
      <c r="F34">
        <f t="shared" si="4"/>
        <v>3.9777028569313089E-7</v>
      </c>
      <c r="G34">
        <v>1902922</v>
      </c>
      <c r="H34">
        <v>849</v>
      </c>
    </row>
    <row r="35" spans="1:8" x14ac:dyDescent="0.4">
      <c r="A35">
        <v>16</v>
      </c>
      <c r="B35">
        <v>0.64960476741992701</v>
      </c>
      <c r="C35">
        <v>9.765625E-4</v>
      </c>
      <c r="D35">
        <v>0.64995073726122599</v>
      </c>
      <c r="E35">
        <v>3.4596984129842102E-4</v>
      </c>
      <c r="F35">
        <f t="shared" si="4"/>
        <v>1.1969513108805462E-7</v>
      </c>
      <c r="G35">
        <v>2936385</v>
      </c>
      <c r="H35">
        <v>1023</v>
      </c>
    </row>
    <row r="36" spans="1:8" x14ac:dyDescent="0.4">
      <c r="A36">
        <v>22</v>
      </c>
      <c r="B36">
        <v>0.64960476741992701</v>
      </c>
      <c r="C36">
        <v>8.3281529826410297E-4</v>
      </c>
      <c r="D36">
        <v>0.65107741242874195</v>
      </c>
      <c r="E36">
        <v>1.4726450088150499E-3</v>
      </c>
      <c r="F36">
        <f t="shared" si="4"/>
        <v>2.1686833219878785E-6</v>
      </c>
      <c r="G36">
        <v>6971007</v>
      </c>
      <c r="H36">
        <v>1200</v>
      </c>
    </row>
    <row r="37" spans="1:8" x14ac:dyDescent="0.4">
      <c r="A37">
        <v>32</v>
      </c>
      <c r="B37">
        <v>0.64960476741992701</v>
      </c>
      <c r="C37">
        <v>6.90533966002487E-4</v>
      </c>
      <c r="D37">
        <v>0.64946475116261604</v>
      </c>
      <c r="E37">
        <v>1.40016257311637E-4</v>
      </c>
      <c r="F37">
        <f t="shared" si="4"/>
        <v>1.9604552311558543E-8</v>
      </c>
      <c r="G37">
        <v>10615544</v>
      </c>
      <c r="H37">
        <v>1448</v>
      </c>
    </row>
    <row r="38" spans="1:8" x14ac:dyDescent="0.4">
      <c r="A38">
        <v>45</v>
      </c>
      <c r="B38">
        <v>0.64960476741992701</v>
      </c>
      <c r="C38">
        <v>5.8230936914057004E-4</v>
      </c>
      <c r="D38">
        <v>0.64902525408790801</v>
      </c>
      <c r="E38">
        <v>5.7951333201911005E-4</v>
      </c>
      <c r="F38">
        <f t="shared" si="4"/>
        <v>3.3583570198789129E-7</v>
      </c>
      <c r="G38">
        <v>15667246</v>
      </c>
      <c r="H38">
        <v>1717</v>
      </c>
    </row>
    <row r="39" spans="1:8" x14ac:dyDescent="0.4">
      <c r="A39">
        <v>64</v>
      </c>
      <c r="B39">
        <v>0.64960476741992701</v>
      </c>
      <c r="C39">
        <v>4.8828125E-4</v>
      </c>
      <c r="D39">
        <v>0.648608806193119</v>
      </c>
      <c r="E39">
        <v>9.9596122680844991E-4</v>
      </c>
      <c r="F39">
        <f t="shared" si="4"/>
        <v>9.9193876530579255E-7</v>
      </c>
      <c r="G39">
        <v>23492217</v>
      </c>
      <c r="H39">
        <v>2047</v>
      </c>
    </row>
    <row r="40" spans="1:8" x14ac:dyDescent="0.4">
      <c r="A40">
        <v>90</v>
      </c>
      <c r="B40">
        <v>0.64960476741992701</v>
      </c>
      <c r="C40">
        <v>4.1175490366775701E-4</v>
      </c>
      <c r="D40">
        <v>0.65036757582008198</v>
      </c>
      <c r="E40">
        <v>7.6280840015430197E-4</v>
      </c>
      <c r="F40">
        <f t="shared" si="4"/>
        <v>5.8187665534596564E-7</v>
      </c>
      <c r="G40">
        <v>57236172</v>
      </c>
      <c r="H40">
        <v>2428</v>
      </c>
    </row>
    <row r="41" spans="1:8" x14ac:dyDescent="0.4">
      <c r="A41">
        <v>8</v>
      </c>
      <c r="B41">
        <v>0.64960476741992701</v>
      </c>
      <c r="C41">
        <v>1.3810679320049701E-3</v>
      </c>
      <c r="D41">
        <v>0.65006910847334698</v>
      </c>
      <c r="E41">
        <v>4.6434105341952499E-4</v>
      </c>
      <c r="F41">
        <f t="shared" si="4"/>
        <v>2.1561261389075415E-7</v>
      </c>
      <c r="G41">
        <v>1322060</v>
      </c>
      <c r="H41">
        <v>724</v>
      </c>
    </row>
    <row r="42" spans="1:8" x14ac:dyDescent="0.4">
      <c r="A42">
        <v>11</v>
      </c>
      <c r="B42">
        <v>0.64960476741992701</v>
      </c>
      <c r="C42">
        <v>1.1777786897568801E-3</v>
      </c>
      <c r="D42">
        <v>0.64959015432793199</v>
      </c>
      <c r="E42" s="1">
        <v>1.4613091995019299E-5</v>
      </c>
      <c r="F42">
        <f t="shared" si="4"/>
        <v>2.1354245765489712E-10</v>
      </c>
      <c r="G42">
        <v>1901565</v>
      </c>
      <c r="H42">
        <v>849</v>
      </c>
    </row>
    <row r="43" spans="1:8" x14ac:dyDescent="0.4">
      <c r="A43">
        <v>16</v>
      </c>
      <c r="B43">
        <v>0.64960476741992701</v>
      </c>
      <c r="C43">
        <v>9.765625E-4</v>
      </c>
      <c r="D43">
        <v>0.65017966640414004</v>
      </c>
      <c r="E43">
        <v>5.7489898421281195E-4</v>
      </c>
      <c r="F43">
        <f t="shared" si="4"/>
        <v>3.3050884204892303E-7</v>
      </c>
      <c r="G43">
        <v>2931612</v>
      </c>
      <c r="H43">
        <v>1022</v>
      </c>
    </row>
    <row r="44" spans="1:8" x14ac:dyDescent="0.4">
      <c r="A44">
        <v>22</v>
      </c>
      <c r="B44">
        <v>0.64960476741992701</v>
      </c>
      <c r="C44">
        <v>8.3281529826410297E-4</v>
      </c>
      <c r="D44">
        <v>0.64783958864636404</v>
      </c>
      <c r="E44">
        <v>1.7651787735629601E-3</v>
      </c>
      <c r="F44">
        <f t="shared" si="4"/>
        <v>3.1158561026372359E-6</v>
      </c>
      <c r="G44">
        <v>6976509</v>
      </c>
      <c r="H44">
        <v>1200</v>
      </c>
    </row>
    <row r="45" spans="1:8" x14ac:dyDescent="0.4">
      <c r="A45">
        <v>32</v>
      </c>
      <c r="B45">
        <v>0.64960476741992701</v>
      </c>
      <c r="C45">
        <v>6.90533966002487E-4</v>
      </c>
      <c r="D45">
        <v>0.65049844828232795</v>
      </c>
      <c r="E45">
        <v>8.9368086240049205E-4</v>
      </c>
      <c r="F45">
        <f t="shared" si="4"/>
        <v>7.9866548382088717E-7</v>
      </c>
      <c r="G45">
        <v>10629056</v>
      </c>
      <c r="H45">
        <v>1448</v>
      </c>
    </row>
    <row r="46" spans="1:8" x14ac:dyDescent="0.4">
      <c r="A46">
        <v>45</v>
      </c>
      <c r="B46">
        <v>0.64960476741992701</v>
      </c>
      <c r="C46">
        <v>5.8230936914057004E-4</v>
      </c>
      <c r="D46">
        <v>0.64940810487298695</v>
      </c>
      <c r="E46">
        <v>1.96662546940507E-4</v>
      </c>
      <c r="F46">
        <f t="shared" si="4"/>
        <v>3.867615736912712E-8</v>
      </c>
      <c r="G46">
        <v>15658443</v>
      </c>
      <c r="H46">
        <v>1717</v>
      </c>
    </row>
    <row r="47" spans="1:8" x14ac:dyDescent="0.4">
      <c r="A47">
        <v>64</v>
      </c>
      <c r="B47">
        <v>0.64960476741992701</v>
      </c>
      <c r="C47">
        <v>4.8828125E-4</v>
      </c>
      <c r="D47">
        <v>0.64948194038153795</v>
      </c>
      <c r="E47">
        <v>1.22827038389505E-4</v>
      </c>
      <c r="F47">
        <f t="shared" si="4"/>
        <v>1.5086481359536936E-8</v>
      </c>
      <c r="G47">
        <v>23555999</v>
      </c>
      <c r="H47">
        <v>2047</v>
      </c>
    </row>
    <row r="48" spans="1:8" x14ac:dyDescent="0.4">
      <c r="A48">
        <v>90</v>
      </c>
      <c r="B48">
        <v>0.64960476741992701</v>
      </c>
      <c r="C48">
        <v>4.1175490366775701E-4</v>
      </c>
      <c r="D48">
        <v>0.64783958864636404</v>
      </c>
      <c r="E48">
        <v>1.7651787735631899E-3</v>
      </c>
      <c r="F48">
        <f t="shared" si="4"/>
        <v>3.1158561026380474E-6</v>
      </c>
      <c r="G48">
        <v>57298459</v>
      </c>
      <c r="H48">
        <v>2428</v>
      </c>
    </row>
    <row r="49" spans="1:8" x14ac:dyDescent="0.4">
      <c r="A49">
        <v>8</v>
      </c>
      <c r="B49">
        <v>0.64960476741992701</v>
      </c>
      <c r="C49">
        <v>1.3810679320049701E-3</v>
      </c>
      <c r="D49">
        <v>0.64921394483198303</v>
      </c>
      <c r="E49">
        <v>3.9082258794464998E-4</v>
      </c>
      <c r="F49">
        <f t="shared" si="4"/>
        <v>1.5274229524775366E-7</v>
      </c>
      <c r="G49">
        <v>1324090</v>
      </c>
      <c r="H49">
        <v>724</v>
      </c>
    </row>
    <row r="50" spans="1:8" x14ac:dyDescent="0.4">
      <c r="A50">
        <v>11</v>
      </c>
      <c r="B50">
        <v>0.64960476741992701</v>
      </c>
      <c r="C50">
        <v>1.1777786897568801E-3</v>
      </c>
      <c r="D50">
        <v>0.65020818488098797</v>
      </c>
      <c r="E50">
        <v>6.0341746106018501E-4</v>
      </c>
      <c r="F50">
        <f t="shared" si="4"/>
        <v>3.6411263231231991E-7</v>
      </c>
      <c r="G50">
        <v>1906054</v>
      </c>
      <c r="H50">
        <v>849</v>
      </c>
    </row>
    <row r="51" spans="1:8" x14ac:dyDescent="0.4">
      <c r="A51">
        <v>16</v>
      </c>
      <c r="B51">
        <v>0.64960476741992701</v>
      </c>
      <c r="C51">
        <v>9.765625E-4</v>
      </c>
      <c r="D51">
        <v>0.651087960358535</v>
      </c>
      <c r="E51">
        <v>1.4831929386079901E-3</v>
      </c>
      <c r="F51">
        <f t="shared" si="4"/>
        <v>2.1998612931366052E-6</v>
      </c>
      <c r="G51">
        <v>2942715</v>
      </c>
      <c r="H51">
        <v>1023</v>
      </c>
    </row>
    <row r="52" spans="1:8" x14ac:dyDescent="0.4">
      <c r="A52">
        <v>22</v>
      </c>
      <c r="B52">
        <v>0.64960476741992701</v>
      </c>
      <c r="C52">
        <v>8.3281529826410297E-4</v>
      </c>
      <c r="D52">
        <v>0.64981087952545202</v>
      </c>
      <c r="E52">
        <v>2.0611210552468E-4</v>
      </c>
      <c r="F52">
        <f t="shared" si="4"/>
        <v>4.2482200043816823E-8</v>
      </c>
      <c r="G52">
        <v>6971441</v>
      </c>
      <c r="H52">
        <v>1200</v>
      </c>
    </row>
    <row r="53" spans="1:8" x14ac:dyDescent="0.4">
      <c r="A53">
        <v>32</v>
      </c>
      <c r="B53">
        <v>0.64960476741992701</v>
      </c>
      <c r="C53">
        <v>6.90533966002487E-4</v>
      </c>
      <c r="D53">
        <v>0.64994878394089395</v>
      </c>
      <c r="E53">
        <v>3.4401652096638298E-4</v>
      </c>
      <c r="F53">
        <f t="shared" si="4"/>
        <v>1.1834736669781382E-7</v>
      </c>
      <c r="G53">
        <v>10606765</v>
      </c>
      <c r="H53">
        <v>1448</v>
      </c>
    </row>
    <row r="54" spans="1:8" x14ac:dyDescent="0.4">
      <c r="A54">
        <v>45</v>
      </c>
      <c r="B54">
        <v>0.64960476741992701</v>
      </c>
      <c r="C54">
        <v>5.8230936914057004E-4</v>
      </c>
      <c r="D54">
        <v>0.64844394595709498</v>
      </c>
      <c r="E54">
        <v>1.16082146283214E-3</v>
      </c>
      <c r="F54">
        <f t="shared" si="4"/>
        <v>1.3475064685717495E-6</v>
      </c>
      <c r="G54">
        <v>15638932</v>
      </c>
      <c r="H54">
        <v>1717</v>
      </c>
    </row>
    <row r="55" spans="1:8" x14ac:dyDescent="0.4">
      <c r="A55">
        <v>64</v>
      </c>
      <c r="B55">
        <v>0.64960476741992701</v>
      </c>
      <c r="C55">
        <v>4.8828125E-4</v>
      </c>
      <c r="D55">
        <v>0.64889789760226002</v>
      </c>
      <c r="E55">
        <v>7.0686981766754299E-4</v>
      </c>
      <c r="F55">
        <f t="shared" si="4"/>
        <v>4.9966493912934546E-7</v>
      </c>
      <c r="G55">
        <v>23520280</v>
      </c>
      <c r="H55">
        <v>2047</v>
      </c>
    </row>
    <row r="56" spans="1:8" x14ac:dyDescent="0.4">
      <c r="A56">
        <v>90</v>
      </c>
      <c r="B56">
        <v>0.64960476741992701</v>
      </c>
      <c r="C56">
        <v>4.1175490366775701E-4</v>
      </c>
      <c r="D56">
        <v>0.64929246830932996</v>
      </c>
      <c r="E56">
        <v>3.12299110596936E-4</v>
      </c>
      <c r="F56">
        <f t="shared" si="4"/>
        <v>9.7530734479637266E-8</v>
      </c>
      <c r="G56">
        <v>57194947</v>
      </c>
      <c r="H56">
        <v>2428</v>
      </c>
    </row>
    <row r="57" spans="1:8" x14ac:dyDescent="0.4">
      <c r="A57">
        <v>8</v>
      </c>
      <c r="B57">
        <v>0.64960476741992701</v>
      </c>
      <c r="C57">
        <v>1.3810679320049701E-3</v>
      </c>
      <c r="D57">
        <v>0.65000035159765901</v>
      </c>
      <c r="E57">
        <v>3.9558417773177801E-4</v>
      </c>
      <c r="F57">
        <f t="shared" si="4"/>
        <v>1.5648684167172693E-7</v>
      </c>
      <c r="G57">
        <v>1318560</v>
      </c>
      <c r="H57">
        <v>724</v>
      </c>
    </row>
    <row r="58" spans="1:8" x14ac:dyDescent="0.4">
      <c r="A58">
        <v>11</v>
      </c>
      <c r="B58">
        <v>0.64960476741992701</v>
      </c>
      <c r="C58">
        <v>1.1777786897568801E-3</v>
      </c>
      <c r="D58">
        <v>0.64855059724722397</v>
      </c>
      <c r="E58">
        <v>1.0541701727031501E-3</v>
      </c>
      <c r="F58">
        <f t="shared" si="4"/>
        <v>1.1112747530169892E-6</v>
      </c>
      <c r="G58">
        <v>1901123</v>
      </c>
      <c r="H58">
        <v>848</v>
      </c>
    </row>
    <row r="59" spans="1:8" x14ac:dyDescent="0.4">
      <c r="A59">
        <v>16</v>
      </c>
      <c r="B59">
        <v>0.64960476741992701</v>
      </c>
      <c r="C59">
        <v>9.765625E-4</v>
      </c>
      <c r="D59">
        <v>0.64659688625112499</v>
      </c>
      <c r="E59">
        <v>3.00788116880257E-3</v>
      </c>
      <c r="F59">
        <f t="shared" si="4"/>
        <v>9.0473491256371153E-6</v>
      </c>
      <c r="G59">
        <v>2935103</v>
      </c>
      <c r="H59">
        <v>1023</v>
      </c>
    </row>
    <row r="60" spans="1:8" x14ac:dyDescent="0.4">
      <c r="A60">
        <v>22</v>
      </c>
      <c r="B60">
        <v>0.64960476741992701</v>
      </c>
      <c r="C60">
        <v>8.3281529826410297E-4</v>
      </c>
      <c r="D60">
        <v>0.64919206764426396</v>
      </c>
      <c r="E60">
        <v>4.1269977566338301E-4</v>
      </c>
      <c r="F60">
        <f t="shared" si="4"/>
        <v>1.7032110483260667E-7</v>
      </c>
      <c r="G60">
        <v>6976909</v>
      </c>
      <c r="H60">
        <v>1200</v>
      </c>
    </row>
    <row r="61" spans="1:8" x14ac:dyDescent="0.4">
      <c r="A61">
        <v>32</v>
      </c>
      <c r="B61">
        <v>0.64960476741992701</v>
      </c>
      <c r="C61">
        <v>6.90533966002487E-4</v>
      </c>
      <c r="D61">
        <v>0.64864865392789195</v>
      </c>
      <c r="E61">
        <v>9.5611349203506002E-4</v>
      </c>
      <c r="F61">
        <f t="shared" si="4"/>
        <v>9.1415300965147673E-7</v>
      </c>
      <c r="G61">
        <v>10613762</v>
      </c>
      <c r="H61">
        <v>1448</v>
      </c>
    </row>
    <row r="62" spans="1:8" x14ac:dyDescent="0.4">
      <c r="A62">
        <v>45</v>
      </c>
      <c r="B62">
        <v>0.64960476741992701</v>
      </c>
      <c r="C62">
        <v>5.8230936914057004E-4</v>
      </c>
      <c r="D62">
        <v>0.64958624768726803</v>
      </c>
      <c r="E62" s="1">
        <v>1.8519732659094601E-5</v>
      </c>
      <c r="F62">
        <f t="shared" si="4"/>
        <v>3.4298049776433516E-10</v>
      </c>
      <c r="G62">
        <v>15641709</v>
      </c>
      <c r="H62">
        <v>1717</v>
      </c>
    </row>
    <row r="63" spans="1:8" x14ac:dyDescent="0.4">
      <c r="A63">
        <v>64</v>
      </c>
      <c r="B63">
        <v>0.64960476741992701</v>
      </c>
      <c r="C63">
        <v>4.8828125E-4</v>
      </c>
      <c r="D63">
        <v>0.64877757306980699</v>
      </c>
      <c r="E63">
        <v>8.2719435012079603E-4</v>
      </c>
      <c r="F63">
        <f t="shared" si="4"/>
        <v>6.8425049287176603E-7</v>
      </c>
      <c r="G63">
        <v>23571141</v>
      </c>
      <c r="H63">
        <v>2047</v>
      </c>
    </row>
    <row r="64" spans="1:8" x14ac:dyDescent="0.4">
      <c r="A64">
        <v>90</v>
      </c>
      <c r="B64">
        <v>0.64960476741992701</v>
      </c>
      <c r="C64">
        <v>4.1175490366775701E-4</v>
      </c>
      <c r="D64">
        <v>0.64950928686618603</v>
      </c>
      <c r="E64" s="1">
        <v>9.5480553741311702E-5</v>
      </c>
      <c r="F64">
        <f t="shared" si="4"/>
        <v>9.116536142747512E-9</v>
      </c>
      <c r="G64">
        <v>57285788</v>
      </c>
      <c r="H64">
        <v>2428</v>
      </c>
    </row>
    <row r="65" spans="1:8" x14ac:dyDescent="0.4">
      <c r="A65">
        <v>8</v>
      </c>
      <c r="B65">
        <v>0.64960476741992701</v>
      </c>
      <c r="C65">
        <v>1.3810679320049701E-3</v>
      </c>
      <c r="D65">
        <v>0.65152862942544199</v>
      </c>
      <c r="E65">
        <v>1.92386200551475E-3</v>
      </c>
      <c r="F65">
        <f t="shared" si="4"/>
        <v>3.7012450162632363E-6</v>
      </c>
      <c r="G65">
        <v>1327222</v>
      </c>
      <c r="H65">
        <v>724</v>
      </c>
    </row>
    <row r="66" spans="1:8" x14ac:dyDescent="0.4">
      <c r="A66">
        <v>11</v>
      </c>
      <c r="B66">
        <v>0.64960476741992701</v>
      </c>
      <c r="C66">
        <v>1.1777786897568801E-3</v>
      </c>
      <c r="D66">
        <v>0.64858380369286905</v>
      </c>
      <c r="E66">
        <v>1.0209637270585099E-3</v>
      </c>
      <c r="F66">
        <f t="shared" si="4"/>
        <v>1.0423669319692034E-6</v>
      </c>
      <c r="G66">
        <v>1898521</v>
      </c>
      <c r="H66">
        <v>849</v>
      </c>
    </row>
    <row r="67" spans="1:8" x14ac:dyDescent="0.4">
      <c r="A67">
        <v>16</v>
      </c>
      <c r="B67">
        <v>0.64960476741992701</v>
      </c>
      <c r="C67">
        <v>9.765625E-4</v>
      </c>
      <c r="D67">
        <v>0.65020974753725302</v>
      </c>
      <c r="E67">
        <v>6.0498011732590395E-4</v>
      </c>
      <c r="F67">
        <f t="shared" ref="F67:F79" si="7">E67*E67</f>
        <v>3.6600094235966453E-7</v>
      </c>
      <c r="G67">
        <v>2931747</v>
      </c>
      <c r="H67">
        <v>1023</v>
      </c>
    </row>
    <row r="68" spans="1:8" x14ac:dyDescent="0.4">
      <c r="A68">
        <v>22</v>
      </c>
      <c r="B68">
        <v>0.64960476741992701</v>
      </c>
      <c r="C68">
        <v>8.3281529826410297E-4</v>
      </c>
      <c r="D68">
        <v>0.64929832827032696</v>
      </c>
      <c r="E68">
        <v>3.0643914960071201E-4</v>
      </c>
      <c r="F68">
        <f t="shared" si="7"/>
        <v>9.3904952408007556E-8</v>
      </c>
      <c r="G68">
        <v>6983451</v>
      </c>
      <c r="H68">
        <v>1200</v>
      </c>
    </row>
    <row r="69" spans="1:8" x14ac:dyDescent="0.4">
      <c r="A69">
        <v>32</v>
      </c>
      <c r="B69">
        <v>0.64960476741992701</v>
      </c>
      <c r="C69">
        <v>6.90533966002487E-4</v>
      </c>
      <c r="D69">
        <v>0.649888231010601</v>
      </c>
      <c r="E69">
        <v>2.83463590673327E-4</v>
      </c>
      <c r="F69">
        <f t="shared" si="7"/>
        <v>8.0351607237415481E-8</v>
      </c>
      <c r="G69">
        <v>10641406</v>
      </c>
      <c r="H69">
        <v>1448</v>
      </c>
    </row>
    <row r="70" spans="1:8" x14ac:dyDescent="0.4">
      <c r="A70">
        <v>45</v>
      </c>
      <c r="B70">
        <v>0.64960476741992701</v>
      </c>
      <c r="C70">
        <v>5.8230936914057004E-4</v>
      </c>
      <c r="D70">
        <v>0.64967336577407697</v>
      </c>
      <c r="E70" s="1">
        <v>6.8598354149629296E-5</v>
      </c>
      <c r="F70">
        <f t="shared" si="7"/>
        <v>4.7057341920379628E-9</v>
      </c>
      <c r="G70">
        <v>15650794</v>
      </c>
      <c r="H70">
        <v>1717</v>
      </c>
    </row>
    <row r="71" spans="1:8" x14ac:dyDescent="0.4">
      <c r="A71">
        <v>64</v>
      </c>
      <c r="B71">
        <v>0.64960476741992701</v>
      </c>
      <c r="C71">
        <v>4.8828125E-4</v>
      </c>
      <c r="D71">
        <v>0.65044414597709699</v>
      </c>
      <c r="E71">
        <v>8.3937855716997801E-4</v>
      </c>
      <c r="F71">
        <f t="shared" si="7"/>
        <v>7.0455636223675406E-7</v>
      </c>
      <c r="G71">
        <v>23498414</v>
      </c>
      <c r="H71">
        <v>2047</v>
      </c>
    </row>
    <row r="72" spans="1:8" x14ac:dyDescent="0.4">
      <c r="A72">
        <v>90</v>
      </c>
      <c r="B72">
        <v>0.64960476741992701</v>
      </c>
      <c r="C72">
        <v>4.1175490366775701E-4</v>
      </c>
      <c r="D72">
        <v>0.64910651221372095</v>
      </c>
      <c r="E72">
        <v>4.98255206206499E-4</v>
      </c>
      <c r="F72">
        <f t="shared" si="7"/>
        <v>2.4825825051188084E-7</v>
      </c>
      <c r="G72">
        <v>57241047</v>
      </c>
      <c r="H72">
        <v>2428</v>
      </c>
    </row>
    <row r="73" spans="1:8" x14ac:dyDescent="0.4">
      <c r="A73">
        <v>8</v>
      </c>
      <c r="B73">
        <v>0.64960476741992701</v>
      </c>
      <c r="C73">
        <v>1.3810679320049701E-3</v>
      </c>
      <c r="D73">
        <v>0.65000035159765901</v>
      </c>
      <c r="E73">
        <v>3.9558417773188898E-4</v>
      </c>
      <c r="F73">
        <f t="shared" si="7"/>
        <v>1.5648684167181473E-7</v>
      </c>
      <c r="G73">
        <v>1323674</v>
      </c>
      <c r="H73">
        <v>724</v>
      </c>
    </row>
    <row r="74" spans="1:8" x14ac:dyDescent="0.4">
      <c r="A74">
        <v>11</v>
      </c>
      <c r="B74">
        <v>0.64960476741992701</v>
      </c>
      <c r="C74">
        <v>1.1777786897568801E-3</v>
      </c>
      <c r="D74">
        <v>0.65121023821132096</v>
      </c>
      <c r="E74">
        <v>1.6054707913931701E-3</v>
      </c>
      <c r="F74">
        <f t="shared" si="7"/>
        <v>2.5775364620166118E-6</v>
      </c>
      <c r="G74">
        <v>1907945</v>
      </c>
      <c r="H74">
        <v>849</v>
      </c>
    </row>
    <row r="75" spans="1:8" x14ac:dyDescent="0.4">
      <c r="A75">
        <v>16</v>
      </c>
      <c r="B75">
        <v>0.64960476741992701</v>
      </c>
      <c r="C75">
        <v>9.765625E-4</v>
      </c>
      <c r="D75">
        <v>0.64758995430792998</v>
      </c>
      <c r="E75">
        <v>2.0148131119969099E-3</v>
      </c>
      <c r="F75">
        <f t="shared" si="7"/>
        <v>4.0594718762746723E-6</v>
      </c>
      <c r="G75">
        <v>2937198</v>
      </c>
      <c r="H75">
        <v>1023</v>
      </c>
    </row>
    <row r="76" spans="1:8" x14ac:dyDescent="0.4">
      <c r="A76">
        <v>22</v>
      </c>
      <c r="B76">
        <v>0.64960476741992701</v>
      </c>
      <c r="C76">
        <v>8.3281529826410297E-4</v>
      </c>
      <c r="D76">
        <v>0.64976907847034704</v>
      </c>
      <c r="E76">
        <v>1.6431105041925199E-4</v>
      </c>
      <c r="F76">
        <f t="shared" si="7"/>
        <v>2.6998121289877971E-8</v>
      </c>
      <c r="G76">
        <v>6978450</v>
      </c>
      <c r="H76">
        <v>1200</v>
      </c>
    </row>
    <row r="77" spans="1:8" x14ac:dyDescent="0.4">
      <c r="A77">
        <v>32</v>
      </c>
      <c r="B77">
        <v>0.64960476741992701</v>
      </c>
      <c r="C77">
        <v>6.90533966002487E-4</v>
      </c>
      <c r="D77">
        <v>0.64906080451795101</v>
      </c>
      <c r="E77">
        <v>5.4396290197600197E-4</v>
      </c>
      <c r="F77">
        <f t="shared" si="7"/>
        <v>2.9589563872615351E-7</v>
      </c>
      <c r="G77">
        <v>10648625</v>
      </c>
      <c r="H77">
        <v>1448</v>
      </c>
    </row>
    <row r="78" spans="1:8" x14ac:dyDescent="0.4">
      <c r="A78">
        <v>45</v>
      </c>
      <c r="B78">
        <v>0.64960476741992701</v>
      </c>
      <c r="C78">
        <v>5.8230936914057004E-4</v>
      </c>
      <c r="D78">
        <v>0.64888578701620103</v>
      </c>
      <c r="E78">
        <v>7.1898040372631001E-4</v>
      </c>
      <c r="F78">
        <f t="shared" si="7"/>
        <v>5.1693282094244774E-7</v>
      </c>
      <c r="G78">
        <v>15652590</v>
      </c>
      <c r="H78">
        <v>1717</v>
      </c>
    </row>
    <row r="79" spans="1:8" x14ac:dyDescent="0.4">
      <c r="A79">
        <v>64</v>
      </c>
      <c r="B79">
        <v>0.64960476741992701</v>
      </c>
      <c r="C79">
        <v>4.8828125E-4</v>
      </c>
      <c r="D79">
        <v>0.64919831826932695</v>
      </c>
      <c r="E79">
        <v>4.0644915060072902E-4</v>
      </c>
      <c r="F79">
        <f t="shared" si="7"/>
        <v>1.6520091202405409E-7</v>
      </c>
      <c r="G79">
        <v>23516076</v>
      </c>
      <c r="H79">
        <v>2047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DivideRBM_RQAE_eps0=2^-8_R=12_m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2025-02-02T23:36:30Z</dcterms:created>
  <dcterms:modified xsi:type="dcterms:W3CDTF">2025-02-02T23:36:30Z</dcterms:modified>
</cp:coreProperties>
</file>