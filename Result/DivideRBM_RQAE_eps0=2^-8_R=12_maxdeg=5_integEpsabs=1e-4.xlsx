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8_{4872802C-2E83-40D7-BD3F-360E32671BEB}" xr6:coauthVersionLast="47" xr6:coauthVersionMax="47" xr10:uidLastSave="{00000000-0000-0000-0000-000000000000}"/>
  <bookViews>
    <workbookView xWindow="510" yWindow="1740" windowWidth="18390" windowHeight="9015" xr2:uid="{012CF84B-994E-4B41-B694-24826AA36B1B}"/>
  </bookViews>
  <sheets>
    <sheet name="DivideRBM_RQAE_eps0=2^-8_R=12_m" sheetId="1" r:id="rId1"/>
  </sheets>
  <calcPr calcId="0"/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L7" i="1" s="1"/>
  <c r="F22" i="1"/>
  <c r="F23" i="1"/>
  <c r="F24" i="1"/>
  <c r="F25" i="1"/>
  <c r="N9" i="1"/>
  <c r="M9" i="1"/>
  <c r="L9" i="1"/>
  <c r="K9" i="1"/>
  <c r="N8" i="1"/>
  <c r="M8" i="1"/>
  <c r="L8" i="1"/>
  <c r="K8" i="1"/>
  <c r="N7" i="1"/>
  <c r="M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<sst xmlns="http://schemas.openxmlformats.org/spreadsheetml/2006/main" count="13" uniqueCount="11">
  <si>
    <t>N</t>
  </si>
  <si>
    <t>pTrue</t>
  </si>
  <si>
    <t>eps</t>
  </si>
  <si>
    <t>pEst</t>
  </si>
  <si>
    <t>absErr</t>
  </si>
  <si>
    <t>totalQueryNum</t>
  </si>
  <si>
    <t>maxDepth</t>
  </si>
  <si>
    <t>errSq</t>
    <phoneticPr fontId="18"/>
  </si>
  <si>
    <t>absErrAve</t>
    <phoneticPr fontId="18"/>
  </si>
  <si>
    <t>RMSE</t>
    <phoneticPr fontId="18"/>
  </si>
  <si>
    <t>totalQueryNum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</si>
</sst>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0.00000"/>
    <numFmt numFmtId="184" formatCode="0.0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38" fontId="0" fillId="0" borderId="0" xfId="1" applyFont="1">
      <alignment vertical="center"/>
    </xf>
    <xf numFmtId="1" fontId="0" fillId="0" borderId="0" xfId="0" applyNumberForma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6588-7613-4832-957D-5890D4A75B5F}">
  <dimension ref="A1:N25"/>
  <sheetViews>
    <sheetView tabSelected="1" workbookViewId="0">
      <selection activeCell="I9" sqref="I9"/>
    </sheetView>
  </sheetViews>
  <sheetFormatPr defaultRowHeight="18.75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10</v>
      </c>
      <c r="N1" t="s">
        <v>6</v>
      </c>
    </row>
    <row r="2" spans="1:14" x14ac:dyDescent="0.4">
      <c r="A2">
        <v>8</v>
      </c>
      <c r="B2">
        <v>0.64960476741992701</v>
      </c>
      <c r="C2">
        <v>1.3810679320049701E-3</v>
      </c>
      <c r="D2">
        <v>0.64943681868186798</v>
      </c>
      <c r="E2">
        <v>1.6794873805958601E-4</v>
      </c>
      <c r="F2">
        <f>E2*E2</f>
        <v>2.8206778615807433E-8</v>
      </c>
      <c r="G2">
        <v>663492</v>
      </c>
      <c r="H2">
        <v>724</v>
      </c>
      <c r="J2">
        <v>8</v>
      </c>
      <c r="K2" s="1">
        <f t="shared" ref="K2:K9" si="0">AVERAGEIF($A$2:$A$1048576,$J2,$E$2:$E$1048576)</f>
        <v>1.6794873805958601E-4</v>
      </c>
      <c r="L2" s="2">
        <f>SQRT(AVERAGEIF($A$2:$A$1048576,$J2,$F$2:$F$1048576))</f>
        <v>1.6794873805958601E-4</v>
      </c>
      <c r="M2" s="3">
        <f t="shared" ref="M2:M9" si="1">AVERAGEIF($A$2:$A$1048576,$J2,$G$2:$G$1048576)</f>
        <v>663492</v>
      </c>
      <c r="N2" s="4">
        <f t="shared" ref="N2:N9" si="2">AVERAGEIF($A$2:$A$1048576,$J2,$H$2:$H$1048576)</f>
        <v>724</v>
      </c>
    </row>
    <row r="3" spans="1:14" x14ac:dyDescent="0.4">
      <c r="A3">
        <v>11</v>
      </c>
      <c r="B3">
        <v>0.64960476741992701</v>
      </c>
      <c r="C3">
        <v>1.1777786897568801E-3</v>
      </c>
      <c r="D3">
        <v>0.648724247424742</v>
      </c>
      <c r="E3">
        <v>8.8051999518534696E-4</v>
      </c>
      <c r="F3">
        <f t="shared" ref="F3:F25" si="3">E3*E3</f>
        <v>7.7531546192120348E-7</v>
      </c>
      <c r="G3">
        <v>949314</v>
      </c>
      <c r="H3">
        <v>849</v>
      </c>
      <c r="J3">
        <v>11</v>
      </c>
      <c r="K3" s="1">
        <f t="shared" si="0"/>
        <v>8.8051999518534696E-4</v>
      </c>
      <c r="L3" s="2">
        <f t="shared" ref="L3:L8" si="4">SQRT(AVERAGEIF($A$2:$A$1048576,$J3,$F$2:$F$1048576))</f>
        <v>8.8051999518534696E-4</v>
      </c>
      <c r="M3" s="3">
        <f t="shared" si="1"/>
        <v>949314</v>
      </c>
      <c r="N3" s="4">
        <f t="shared" si="2"/>
        <v>849</v>
      </c>
    </row>
    <row r="4" spans="1:14" x14ac:dyDescent="0.4">
      <c r="A4">
        <v>22</v>
      </c>
      <c r="B4">
        <v>0.64960476741992701</v>
      </c>
      <c r="C4">
        <v>8.3281529826410297E-4</v>
      </c>
      <c r="D4">
        <v>0.65055568056805602</v>
      </c>
      <c r="E4">
        <v>9.5091314812900598E-4</v>
      </c>
      <c r="F4">
        <f t="shared" si="3"/>
        <v>9.042358152846169E-7</v>
      </c>
      <c r="G4">
        <v>3492498</v>
      </c>
      <c r="H4">
        <v>1200</v>
      </c>
      <c r="J4">
        <v>16</v>
      </c>
      <c r="K4" s="1">
        <f t="shared" si="0"/>
        <v>1.0928000000000001E-3</v>
      </c>
      <c r="L4" s="2">
        <f t="shared" si="4"/>
        <v>1.532760189984069E-3</v>
      </c>
      <c r="M4" s="3">
        <f t="shared" si="1"/>
        <v>1465962.1</v>
      </c>
      <c r="N4" s="4">
        <f t="shared" si="2"/>
        <v>1022.8</v>
      </c>
    </row>
    <row r="5" spans="1:14" x14ac:dyDescent="0.4">
      <c r="A5">
        <v>32</v>
      </c>
      <c r="B5">
        <v>0.64960476741992701</v>
      </c>
      <c r="C5">
        <v>6.90533966002487E-4</v>
      </c>
      <c r="D5">
        <v>0.65059943494349404</v>
      </c>
      <c r="E5">
        <v>9.9466752356658296E-4</v>
      </c>
      <c r="F5">
        <f t="shared" si="3"/>
        <v>9.8936348243807897E-7</v>
      </c>
      <c r="G5">
        <v>5302244</v>
      </c>
      <c r="H5">
        <v>1448</v>
      </c>
      <c r="J5">
        <v>22</v>
      </c>
      <c r="K5" s="1">
        <f t="shared" si="0"/>
        <v>9.5091314812900598E-4</v>
      </c>
      <c r="L5" s="2">
        <f t="shared" si="4"/>
        <v>9.5091314812900598E-4</v>
      </c>
      <c r="M5" s="3">
        <f t="shared" si="1"/>
        <v>3492498</v>
      </c>
      <c r="N5" s="4">
        <f t="shared" si="2"/>
        <v>1200</v>
      </c>
    </row>
    <row r="6" spans="1:14" x14ac:dyDescent="0.4">
      <c r="A6">
        <v>16</v>
      </c>
      <c r="B6">
        <v>0.64960499999999999</v>
      </c>
      <c r="C6">
        <v>9.77E-4</v>
      </c>
      <c r="D6">
        <v>0.64930600000000005</v>
      </c>
      <c r="E6">
        <v>2.99E-4</v>
      </c>
      <c r="F6">
        <f t="shared" si="3"/>
        <v>8.9401000000000008E-8</v>
      </c>
      <c r="G6">
        <v>1466052</v>
      </c>
      <c r="H6">
        <v>1022</v>
      </c>
      <c r="J6">
        <v>32</v>
      </c>
      <c r="K6" s="1">
        <f t="shared" si="0"/>
        <v>9.9466752356658296E-4</v>
      </c>
      <c r="L6" s="2">
        <f t="shared" si="4"/>
        <v>9.9466752356658296E-4</v>
      </c>
      <c r="M6" s="3">
        <f t="shared" si="1"/>
        <v>5302244</v>
      </c>
      <c r="N6" s="4">
        <f t="shared" si="2"/>
        <v>1448</v>
      </c>
    </row>
    <row r="7" spans="1:14" x14ac:dyDescent="0.4">
      <c r="A7">
        <v>16</v>
      </c>
      <c r="B7">
        <v>0.64960499999999999</v>
      </c>
      <c r="C7">
        <v>9.77E-4</v>
      </c>
      <c r="D7">
        <v>0.64555499999999999</v>
      </c>
      <c r="E7">
        <v>4.0499999999999998E-3</v>
      </c>
      <c r="F7">
        <f t="shared" si="3"/>
        <v>1.6402499999999998E-5</v>
      </c>
      <c r="G7">
        <v>1467394</v>
      </c>
      <c r="H7">
        <v>1023</v>
      </c>
      <c r="J7">
        <v>45</v>
      </c>
      <c r="K7" s="1">
        <f t="shared" si="0"/>
        <v>9.0869999999999992E-4</v>
      </c>
      <c r="L7" s="2">
        <f t="shared" si="4"/>
        <v>1.0934681979829135E-3</v>
      </c>
      <c r="M7" s="3">
        <f t="shared" si="1"/>
        <v>7821935.9000000004</v>
      </c>
      <c r="N7" s="4">
        <f t="shared" si="2"/>
        <v>1717</v>
      </c>
    </row>
    <row r="8" spans="1:14" x14ac:dyDescent="0.4">
      <c r="A8">
        <v>16</v>
      </c>
      <c r="B8">
        <v>0.64960499999999999</v>
      </c>
      <c r="C8">
        <v>9.77E-4</v>
      </c>
      <c r="D8">
        <v>0.64847399999999999</v>
      </c>
      <c r="E8">
        <v>1.1310000000000001E-3</v>
      </c>
      <c r="F8">
        <f t="shared" si="3"/>
        <v>1.2791610000000002E-6</v>
      </c>
      <c r="G8">
        <v>1466430</v>
      </c>
      <c r="H8">
        <v>1023</v>
      </c>
      <c r="J8">
        <v>64</v>
      </c>
      <c r="K8" s="1" t="e">
        <f t="shared" si="0"/>
        <v>#DIV/0!</v>
      </c>
      <c r="L8" s="2" t="e">
        <f t="shared" si="4"/>
        <v>#DIV/0!</v>
      </c>
      <c r="M8" s="3" t="e">
        <f t="shared" si="1"/>
        <v>#DIV/0!</v>
      </c>
      <c r="N8" s="4" t="e">
        <f t="shared" si="2"/>
        <v>#DIV/0!</v>
      </c>
    </row>
    <row r="9" spans="1:14" x14ac:dyDescent="0.4">
      <c r="A9">
        <v>16</v>
      </c>
      <c r="B9">
        <v>0.64960499999999999</v>
      </c>
      <c r="C9">
        <v>9.77E-4</v>
      </c>
      <c r="D9">
        <v>0.64952399999999999</v>
      </c>
      <c r="E9">
        <v>8.0000000000000007E-5</v>
      </c>
      <c r="F9">
        <f t="shared" si="3"/>
        <v>6.4000000000000011E-9</v>
      </c>
      <c r="G9">
        <v>1470236</v>
      </c>
      <c r="H9">
        <v>1023</v>
      </c>
      <c r="J9">
        <v>90</v>
      </c>
      <c r="K9" s="1" t="e">
        <f t="shared" si="0"/>
        <v>#DIV/0!</v>
      </c>
      <c r="L9" s="2" t="e">
        <f>SQRT(AVERAGEIF($A$2:$A$1048576,$J9,$F$2:$F$1048576))</f>
        <v>#DIV/0!</v>
      </c>
      <c r="M9" s="3" t="e">
        <f t="shared" si="1"/>
        <v>#DIV/0!</v>
      </c>
      <c r="N9" s="4" t="e">
        <f t="shared" si="2"/>
        <v>#DIV/0!</v>
      </c>
    </row>
    <row r="10" spans="1:14" x14ac:dyDescent="0.4">
      <c r="A10">
        <v>16</v>
      </c>
      <c r="B10">
        <v>0.64960499999999999</v>
      </c>
      <c r="C10">
        <v>9.77E-4</v>
      </c>
      <c r="D10">
        <v>0.64886200000000005</v>
      </c>
      <c r="E10">
        <v>7.4299999999999995E-4</v>
      </c>
      <c r="F10">
        <f t="shared" si="3"/>
        <v>5.5204899999999994E-7</v>
      </c>
      <c r="G10">
        <v>1463781</v>
      </c>
      <c r="H10">
        <v>1023</v>
      </c>
    </row>
    <row r="11" spans="1:14" x14ac:dyDescent="0.4">
      <c r="A11">
        <v>16</v>
      </c>
      <c r="B11">
        <v>0.64960499999999999</v>
      </c>
      <c r="C11">
        <v>9.77E-4</v>
      </c>
      <c r="D11">
        <v>0.64911200000000002</v>
      </c>
      <c r="E11">
        <v>4.9299999999999995E-4</v>
      </c>
      <c r="F11">
        <f t="shared" si="3"/>
        <v>2.4304899999999997E-7</v>
      </c>
      <c r="G11">
        <v>1465668</v>
      </c>
      <c r="H11">
        <v>1023</v>
      </c>
    </row>
    <row r="12" spans="1:14" x14ac:dyDescent="0.4">
      <c r="A12">
        <v>16</v>
      </c>
      <c r="B12">
        <v>0.64960499999999999</v>
      </c>
      <c r="C12">
        <v>9.77E-4</v>
      </c>
      <c r="D12">
        <v>0.64799899999999999</v>
      </c>
      <c r="E12">
        <v>1.606E-3</v>
      </c>
      <c r="F12">
        <f t="shared" si="3"/>
        <v>2.5792359999999999E-6</v>
      </c>
      <c r="G12">
        <v>1462114</v>
      </c>
      <c r="H12">
        <v>1022</v>
      </c>
    </row>
    <row r="13" spans="1:14" x14ac:dyDescent="0.4">
      <c r="A13">
        <v>16</v>
      </c>
      <c r="B13">
        <v>0.64960499999999999</v>
      </c>
      <c r="C13">
        <v>9.77E-4</v>
      </c>
      <c r="D13">
        <v>0.65046199999999998</v>
      </c>
      <c r="E13">
        <v>8.5700000000000001E-4</v>
      </c>
      <c r="F13">
        <f t="shared" si="3"/>
        <v>7.3444899999999999E-7</v>
      </c>
      <c r="G13">
        <v>1456553</v>
      </c>
      <c r="H13">
        <v>1023</v>
      </c>
    </row>
    <row r="14" spans="1:14" x14ac:dyDescent="0.4">
      <c r="A14">
        <v>16</v>
      </c>
      <c r="B14">
        <v>0.64960499999999999</v>
      </c>
      <c r="C14">
        <v>9.77E-4</v>
      </c>
      <c r="D14">
        <v>0.64844299999999999</v>
      </c>
      <c r="E14">
        <v>1.1620000000000001E-3</v>
      </c>
      <c r="F14">
        <f t="shared" si="3"/>
        <v>1.3502440000000002E-6</v>
      </c>
      <c r="G14">
        <v>1469174</v>
      </c>
      <c r="H14">
        <v>1023</v>
      </c>
    </row>
    <row r="15" spans="1:14" x14ac:dyDescent="0.4">
      <c r="A15">
        <v>16</v>
      </c>
      <c r="B15">
        <v>0.64960499999999999</v>
      </c>
      <c r="C15">
        <v>9.77E-4</v>
      </c>
      <c r="D15">
        <v>0.65011200000000002</v>
      </c>
      <c r="E15">
        <v>5.0699999999999996E-4</v>
      </c>
      <c r="F15">
        <f t="shared" si="3"/>
        <v>2.5704899999999996E-7</v>
      </c>
      <c r="G15">
        <v>1472219</v>
      </c>
      <c r="H15">
        <v>1023</v>
      </c>
    </row>
    <row r="16" spans="1:14" x14ac:dyDescent="0.4">
      <c r="A16">
        <v>45</v>
      </c>
      <c r="B16">
        <v>0.64960499999999999</v>
      </c>
      <c r="C16">
        <v>5.8200000000000005E-4</v>
      </c>
      <c r="D16">
        <v>0.64754299999999998</v>
      </c>
      <c r="E16">
        <v>2.062E-3</v>
      </c>
      <c r="F16">
        <f t="shared" si="3"/>
        <v>4.251844E-6</v>
      </c>
      <c r="G16">
        <v>7819018</v>
      </c>
      <c r="H16">
        <v>1717</v>
      </c>
    </row>
    <row r="17" spans="1:8" x14ac:dyDescent="0.4">
      <c r="A17">
        <v>45</v>
      </c>
      <c r="B17">
        <v>0.64960499999999999</v>
      </c>
      <c r="C17">
        <v>5.8200000000000005E-4</v>
      </c>
      <c r="D17">
        <v>0.65073099999999995</v>
      </c>
      <c r="E17">
        <v>1.126E-3</v>
      </c>
      <c r="F17">
        <f t="shared" si="3"/>
        <v>1.2678760000000001E-6</v>
      </c>
      <c r="G17">
        <v>7824850</v>
      </c>
      <c r="H17">
        <v>1717</v>
      </c>
    </row>
    <row r="18" spans="1:8" x14ac:dyDescent="0.4">
      <c r="A18">
        <v>45</v>
      </c>
      <c r="B18">
        <v>0.64960499999999999</v>
      </c>
      <c r="C18">
        <v>5.8200000000000005E-4</v>
      </c>
      <c r="D18">
        <v>0.64911799999999997</v>
      </c>
      <c r="E18">
        <v>4.8700000000000002E-4</v>
      </c>
      <c r="F18">
        <f t="shared" si="3"/>
        <v>2.3716900000000002E-7</v>
      </c>
      <c r="G18">
        <v>7813560</v>
      </c>
      <c r="H18">
        <v>1717</v>
      </c>
    </row>
    <row r="19" spans="1:8" x14ac:dyDescent="0.4">
      <c r="A19">
        <v>45</v>
      </c>
      <c r="B19">
        <v>0.64960499999999999</v>
      </c>
      <c r="C19">
        <v>5.8200000000000005E-4</v>
      </c>
      <c r="D19">
        <v>0.65025599999999995</v>
      </c>
      <c r="E19">
        <v>6.5099999999999999E-4</v>
      </c>
      <c r="F19">
        <f t="shared" si="3"/>
        <v>4.23801E-7</v>
      </c>
      <c r="G19">
        <v>7806434</v>
      </c>
      <c r="H19">
        <v>1717</v>
      </c>
    </row>
    <row r="20" spans="1:8" x14ac:dyDescent="0.4">
      <c r="A20">
        <v>45</v>
      </c>
      <c r="B20">
        <v>0.64960499999999999</v>
      </c>
      <c r="C20">
        <v>5.8200000000000005E-4</v>
      </c>
      <c r="D20">
        <v>0.65018699999999996</v>
      </c>
      <c r="E20">
        <v>5.8200000000000005E-4</v>
      </c>
      <c r="F20">
        <f t="shared" si="3"/>
        <v>3.3872400000000006E-7</v>
      </c>
      <c r="G20">
        <v>7831606</v>
      </c>
      <c r="H20">
        <v>1717</v>
      </c>
    </row>
    <row r="21" spans="1:8" x14ac:dyDescent="0.4">
      <c r="A21">
        <v>45</v>
      </c>
      <c r="B21">
        <v>0.64960499999999999</v>
      </c>
      <c r="C21">
        <v>5.8200000000000005E-4</v>
      </c>
      <c r="D21">
        <v>0.649868</v>
      </c>
      <c r="E21">
        <v>2.63E-4</v>
      </c>
      <c r="F21">
        <f t="shared" si="3"/>
        <v>6.9169000000000002E-8</v>
      </c>
      <c r="G21">
        <v>7817816</v>
      </c>
      <c r="H21">
        <v>1717</v>
      </c>
    </row>
    <row r="22" spans="1:8" x14ac:dyDescent="0.4">
      <c r="A22">
        <v>45</v>
      </c>
      <c r="B22">
        <v>0.64960499999999999</v>
      </c>
      <c r="C22">
        <v>5.8200000000000005E-4</v>
      </c>
      <c r="D22">
        <v>0.65048700000000004</v>
      </c>
      <c r="E22">
        <v>8.8199999999999997E-4</v>
      </c>
      <c r="F22">
        <f t="shared" si="3"/>
        <v>7.7792399999999992E-7</v>
      </c>
      <c r="G22">
        <v>7815687</v>
      </c>
      <c r="H22">
        <v>1717</v>
      </c>
    </row>
    <row r="23" spans="1:8" x14ac:dyDescent="0.4">
      <c r="A23">
        <v>45</v>
      </c>
      <c r="B23">
        <v>0.64960499999999999</v>
      </c>
      <c r="C23">
        <v>5.8200000000000005E-4</v>
      </c>
      <c r="D23">
        <v>0.65064299999999997</v>
      </c>
      <c r="E23">
        <v>1.0380000000000001E-3</v>
      </c>
      <c r="F23">
        <f t="shared" si="3"/>
        <v>1.0774440000000002E-6</v>
      </c>
      <c r="G23">
        <v>7834603</v>
      </c>
      <c r="H23">
        <v>1717</v>
      </c>
    </row>
    <row r="24" spans="1:8" x14ac:dyDescent="0.4">
      <c r="A24">
        <v>45</v>
      </c>
      <c r="B24">
        <v>0.64960499999999999</v>
      </c>
      <c r="C24">
        <v>5.8200000000000005E-4</v>
      </c>
      <c r="D24">
        <v>0.65147500000000003</v>
      </c>
      <c r="E24">
        <v>1.8699999999999999E-3</v>
      </c>
      <c r="F24">
        <f t="shared" si="3"/>
        <v>3.4968999999999995E-6</v>
      </c>
      <c r="G24">
        <v>7841525</v>
      </c>
      <c r="H24">
        <v>1717</v>
      </c>
    </row>
    <row r="25" spans="1:8" x14ac:dyDescent="0.4">
      <c r="A25">
        <v>45</v>
      </c>
      <c r="B25">
        <v>0.64960499999999999</v>
      </c>
      <c r="C25">
        <v>5.8200000000000005E-4</v>
      </c>
      <c r="D25">
        <v>0.64973099999999995</v>
      </c>
      <c r="E25">
        <v>1.26E-4</v>
      </c>
      <c r="F25">
        <f t="shared" si="3"/>
        <v>1.5875999999999999E-8</v>
      </c>
      <c r="G25">
        <v>7814260</v>
      </c>
      <c r="H25">
        <v>1717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DivideRBM_RQAE_eps0=2^-8_R=12_m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2025-02-13T00:08:11Z</dcterms:created>
  <dcterms:modified xsi:type="dcterms:W3CDTF">2025-02-13T00:08:11Z</dcterms:modified>
</cp:coreProperties>
</file>