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ich\Desktop\Code\DivQCOSDE\Result\"/>
    </mc:Choice>
  </mc:AlternateContent>
  <xr:revisionPtr revIDLastSave="0" documentId="13_ncr:1_{7329BAD6-2DED-4D66-9A57-495CD977849F}" xr6:coauthVersionLast="47" xr6:coauthVersionMax="47" xr10:uidLastSave="{00000000-0000-0000-0000-000000000000}"/>
  <bookViews>
    <workbookView xWindow="345" yWindow="1635" windowWidth="18390" windowHeight="9015" xr2:uid="{DDFBC754-980A-4BFD-AE2C-311ED991EAD0}"/>
  </bookViews>
  <sheets>
    <sheet name="RQAE_eps0=2^-10_R=12_deg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R2" i="1"/>
  <c r="R3" i="1"/>
  <c r="R4" i="1"/>
  <c r="R5" i="1"/>
  <c r="R6" i="1"/>
  <c r="R7" i="1"/>
  <c r="R8" i="1"/>
  <c r="F48" i="1" l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2" i="1"/>
  <c r="K2" i="1"/>
  <c r="M2" i="1"/>
  <c r="N2" i="1"/>
  <c r="K3" i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M7" i="1"/>
  <c r="N7" i="1"/>
  <c r="K8" i="1"/>
  <c r="L8" i="1"/>
  <c r="M8" i="1"/>
  <c r="N8" i="1"/>
  <c r="L7" i="1" l="1"/>
  <c r="L2" i="1"/>
</calcChain>
</file>

<file path=xl/sharedStrings.xml><?xml version="1.0" encoding="utf-8"?>
<sst xmlns="http://schemas.openxmlformats.org/spreadsheetml/2006/main" count="15" uniqueCount="13">
  <si>
    <t>N</t>
  </si>
  <si>
    <t>pTrue</t>
  </si>
  <si>
    <t>eps</t>
  </si>
  <si>
    <t>pEst</t>
  </si>
  <si>
    <t>absErr</t>
  </si>
  <si>
    <t>totalQueryNum</t>
  </si>
  <si>
    <t>maxDepth</t>
  </si>
  <si>
    <t>errSq</t>
    <phoneticPr fontId="18"/>
  </si>
  <si>
    <t>absErrAve</t>
    <phoneticPr fontId="18"/>
  </si>
  <si>
    <t>RMSE</t>
    <phoneticPr fontId="18"/>
  </si>
  <si>
    <t>totalQueryNum</t>
    <phoneticPr fontId="18"/>
  </si>
  <si>
    <t>同じRMSEを達成するのに必要な古典モンテサンプル数</t>
    <rPh sb="0" eb="1">
      <t>オナ</t>
    </rPh>
    <rPh sb="7" eb="9">
      <t>タッセイ</t>
    </rPh>
    <rPh sb="13" eb="15">
      <t>ヒツヨウ</t>
    </rPh>
    <rPh sb="16" eb="18">
      <t>コテン</t>
    </rPh>
    <rPh sb="25" eb="26">
      <t>スウ</t>
    </rPh>
    <phoneticPr fontId="18"/>
  </si>
  <si>
    <t>RMSE=0.0004を達成するのに必要な古典モンテサンプル数</t>
    <rPh sb="12" eb="14">
      <t>タッセイ</t>
    </rPh>
    <rPh sb="18" eb="20">
      <t>ヒツヨウ</t>
    </rPh>
    <rPh sb="21" eb="23">
      <t>コテン</t>
    </rPh>
    <rPh sb="30" eb="31">
      <t>スウ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</si>
</sst>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"/>
    <numFmt numFmtId="177" formatCode="0.000000"/>
    <numFmt numFmtId="178" formatCode="#,##0.0000;[Red]\-#,##0.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38" fontId="0" fillId="0" borderId="0" xfId="1" applyFont="1">
      <alignment vertical="center"/>
    </xf>
    <xf numFmtId="1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1" applyNumberFormat="1" applyFon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'RQAE_eps0=2^-10_R=12_deg10'!$M$1</c:f>
              <c:strCache>
                <c:ptCount val="1"/>
                <c:pt idx="0">
                  <c:v>totalQueryNum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'RQAE_eps0=2^-10_R=12_deg10'!$J$2:$J$9</c:f>
              <c:numCache>
                <c:formatCode>General</c:formatCode>
                <c:ptCount val="8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</c:numCache>
            </c:numRef>
          </c:xVal>
          <c:yVal>
            <c:numRef>
              <c:f>'RQAE_eps0=2^-10_R=12_deg10'!$M$2:$M$9</c:f>
              <c:numCache>
                <c:formatCode>#,##0_);[Red]\(#,##0\)</c:formatCode>
                <c:ptCount val="8"/>
                <c:pt idx="0">
                  <c:v>2653617.4</c:v>
                </c:pt>
                <c:pt idx="1">
                  <c:v>3817777.9</c:v>
                </c:pt>
                <c:pt idx="2">
                  <c:v>5892575.4000000004</c:v>
                </c:pt>
                <c:pt idx="3">
                  <c:v>13981021.199999999</c:v>
                </c:pt>
                <c:pt idx="4">
                  <c:v>21276286.399999999</c:v>
                </c:pt>
                <c:pt idx="5">
                  <c:v>31395329.800000001</c:v>
                </c:pt>
                <c:pt idx="6">
                  <c:v>47198446.399999999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08-452A-866C-3D6397DB0CDC}"/>
            </c:ext>
          </c:extLst>
        </c:ser>
        <c:ser>
          <c:idx val="2"/>
          <c:order val="1"/>
          <c:tx>
            <c:strRef>
              <c:f>'RQAE_eps0=2^-10_R=12_deg10'!$R$1</c:f>
              <c:strCache>
                <c:ptCount val="1"/>
                <c:pt idx="0">
                  <c:v>RMSE=0.0004を達成するのに必要な古典モンテサンプル数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'RQAE_eps0=2^-10_R=12_deg10'!$J$2:$J$9</c:f>
              <c:numCache>
                <c:formatCode>General</c:formatCode>
                <c:ptCount val="8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</c:numCache>
            </c:numRef>
          </c:xVal>
          <c:yVal>
            <c:numRef>
              <c:f>'RQAE_eps0=2^-10_R=12_deg10'!$R$2:$R$9</c:f>
              <c:numCache>
                <c:formatCode>#,##0_);[Red]\(#,##0\)</c:formatCode>
                <c:ptCount val="8"/>
                <c:pt idx="0">
                  <c:v>11380920.678261478</c:v>
                </c:pt>
                <c:pt idx="1">
                  <c:v>15648765.932609532</c:v>
                </c:pt>
                <c:pt idx="2">
                  <c:v>22761841.356522955</c:v>
                </c:pt>
                <c:pt idx="3">
                  <c:v>31297531.865219064</c:v>
                </c:pt>
                <c:pt idx="4">
                  <c:v>45523682.71304591</c:v>
                </c:pt>
                <c:pt idx="5">
                  <c:v>64017678.815220803</c:v>
                </c:pt>
                <c:pt idx="6">
                  <c:v>91047365.42609182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E6-4341-99FE-6CA6D6FC5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695600"/>
        <c:axId val="1102700880"/>
      </c:scatterChart>
      <c:valAx>
        <c:axId val="1102695600"/>
        <c:scaling>
          <c:logBase val="10"/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2700880"/>
        <c:crosses val="autoZero"/>
        <c:crossBetween val="midCat"/>
      </c:valAx>
      <c:valAx>
        <c:axId val="1102700880"/>
        <c:scaling>
          <c:logBase val="10"/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2695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'RQAE_eps0=2^-10_R=12_deg10'!$L$1</c:f>
              <c:strCache>
                <c:ptCount val="1"/>
                <c:pt idx="0">
                  <c:v>RMSE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'RQAE_eps0=2^-10_R=12_deg10'!$J$2:$J$8</c:f>
              <c:numCache>
                <c:formatCode>General</c:formatCode>
                <c:ptCount val="7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</c:numCache>
            </c:numRef>
          </c:xVal>
          <c:yVal>
            <c:numRef>
              <c:f>'RQAE_eps0=2^-10_R=12_deg10'!$L$2:$L$8</c:f>
              <c:numCache>
                <c:formatCode>0.000000</c:formatCode>
                <c:ptCount val="7"/>
                <c:pt idx="0">
                  <c:v>2.6182040333317297E-4</c:v>
                </c:pt>
                <c:pt idx="1">
                  <c:v>1.836722941018685E-4</c:v>
                </c:pt>
                <c:pt idx="2">
                  <c:v>1.9329018505141439E-4</c:v>
                </c:pt>
                <c:pt idx="3">
                  <c:v>3.2824461742055955E-4</c:v>
                </c:pt>
                <c:pt idx="4">
                  <c:v>3.2119642480153433E-4</c:v>
                </c:pt>
                <c:pt idx="5">
                  <c:v>2.0663988873109669E-4</c:v>
                </c:pt>
                <c:pt idx="6">
                  <c:v>3.9811294668683602E-4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7A-4F01-904F-02DA1AEE1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35487"/>
        <c:axId val="118335967"/>
      </c:scatterChart>
      <c:valAx>
        <c:axId val="118335487"/>
        <c:scaling>
          <c:logBase val="10"/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335967"/>
        <c:crosses val="autoZero"/>
        <c:crossBetween val="midCat"/>
      </c:valAx>
      <c:valAx>
        <c:axId val="1183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33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371475</xdr:colOff>
      <xdr:row>8</xdr:row>
      <xdr:rowOff>114300</xdr:rowOff>
    </xdr:from>
    <xdr:to>
      <xdr:col>18</xdr:col>
      <xdr:colOff>123825</xdr:colOff>
      <xdr:row>21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54D9CEE-C6DE-B276-DD7F-69ACC7524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8</xdr:row>
      <xdr:rowOff>123831</xdr:rowOff>
    </xdr:from>
    <xdr:to>
      <xdr:col>16</xdr:col>
      <xdr:colOff>19050</xdr:colOff>
      <xdr:row>20</xdr:row>
      <xdr:rowOff>9531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6BAB9FF-6C28-340E-B79F-1A1A232EB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32EA-BAB9-471F-AFF2-8FC10C78FD9E}">
  <dimension ref="A1:R74"/>
  <sheetViews>
    <sheetView tabSelected="1" topLeftCell="F1" workbookViewId="0">
      <selection activeCell="N4" sqref="N4"/>
    </sheetView>
  </sheetViews>
  <sheetFormatPr defaultRowHeight="18.75" x14ac:dyDescent="0.4"/>
  <cols>
    <col min="13" max="13" width="14.875" bestFit="1" customWidth="1"/>
    <col min="17" max="17" width="51.75" bestFit="1" customWidth="1"/>
    <col min="18" max="18" width="14.875" bestFit="1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J1" t="s">
        <v>0</v>
      </c>
      <c r="K1" t="s">
        <v>8</v>
      </c>
      <c r="L1" t="s">
        <v>9</v>
      </c>
      <c r="M1" t="s">
        <v>10</v>
      </c>
      <c r="N1" t="s">
        <v>6</v>
      </c>
      <c r="Q1" t="s">
        <v>11</v>
      </c>
      <c r="R1" t="s">
        <v>12</v>
      </c>
    </row>
    <row r="2" spans="1:18" x14ac:dyDescent="0.4">
      <c r="A2">
        <v>8</v>
      </c>
      <c r="B2">
        <v>0.64960476741992701</v>
      </c>
      <c r="C2">
        <v>3.4526698300124301E-4</v>
      </c>
      <c r="D2">
        <v>0.64928680368036795</v>
      </c>
      <c r="E2">
        <v>3.1796373955972302E-4</v>
      </c>
      <c r="F2" s="1">
        <f>E2*E2</f>
        <v>1.0110093967480337E-7</v>
      </c>
      <c r="G2">
        <v>2650827</v>
      </c>
      <c r="H2">
        <v>2895</v>
      </c>
      <c r="J2">
        <v>8</v>
      </c>
      <c r="K2" s="2">
        <f t="shared" ref="K2:K8" si="0">AVERAGEIF($A$2:$A$1048576,$J2,$E$2:$E$1048576)</f>
        <v>2.28445621836448E-4</v>
      </c>
      <c r="L2" s="5">
        <f>SQRT(AVERAGEIF($A$2:$A$1048576,$J2,$F$2:$F$1048576))</f>
        <v>2.6182040333317297E-4</v>
      </c>
      <c r="M2" s="3">
        <f t="shared" ref="M2:M8" si="1">AVERAGEIF($A$2:$A$1048576,$J2,$G$2:$G$1048576)</f>
        <v>2653617.4</v>
      </c>
      <c r="N2" s="4">
        <f t="shared" ref="N2:N8" si="2">AVERAGEIF($A$2:$A$1048576,$J2,$H$2:$H$1048576)</f>
        <v>2894.9</v>
      </c>
      <c r="Q2" s="3">
        <f t="shared" ref="Q2:Q8" si="3">$J2/$L2/$L2*$B$2*(1-$B$2)</f>
        <v>26563812.369891327</v>
      </c>
      <c r="R2" s="3">
        <f t="shared" ref="R2:R8" si="4">$J2/(0.0004^2)*$B$2*(1-$B$2)</f>
        <v>11380920.678261478</v>
      </c>
    </row>
    <row r="3" spans="1:18" x14ac:dyDescent="0.4">
      <c r="A3">
        <v>11</v>
      </c>
      <c r="B3">
        <v>0.64960476741992701</v>
      </c>
      <c r="C3">
        <v>2.9444467243922202E-4</v>
      </c>
      <c r="D3">
        <v>0.649911866186618</v>
      </c>
      <c r="E3">
        <v>3.0709876669088299E-4</v>
      </c>
      <c r="F3" s="1">
        <f t="shared" ref="F3:F66" si="5">E3*E3</f>
        <v>9.4309652503061388E-8</v>
      </c>
      <c r="G3">
        <v>3817894</v>
      </c>
      <c r="H3">
        <v>3395</v>
      </c>
      <c r="J3">
        <v>11</v>
      </c>
      <c r="K3" s="2">
        <f t="shared" si="0"/>
        <v>1.6064106410640359E-4</v>
      </c>
      <c r="L3" s="5">
        <f t="shared" ref="L3:L8" si="6">SQRT(AVERAGEIF($A$2:$A$1048576,$J3,$F$2:$F$1048576))</f>
        <v>1.836722941018685E-4</v>
      </c>
      <c r="M3" s="3">
        <f t="shared" si="1"/>
        <v>3817777.9</v>
      </c>
      <c r="N3" s="4">
        <f t="shared" si="2"/>
        <v>3393.8</v>
      </c>
      <c r="Q3" s="3">
        <f t="shared" si="3"/>
        <v>74218603.155418262</v>
      </c>
      <c r="R3" s="3">
        <f t="shared" si="4"/>
        <v>15648765.932609532</v>
      </c>
    </row>
    <row r="4" spans="1:18" x14ac:dyDescent="0.4">
      <c r="A4">
        <v>16</v>
      </c>
      <c r="B4">
        <v>0.64960476741992701</v>
      </c>
      <c r="C4">
        <v>2.44140625E-4</v>
      </c>
      <c r="D4">
        <v>0.649586833683368</v>
      </c>
      <c r="E4" s="1">
        <v>1.7933736559450001E-5</v>
      </c>
      <c r="F4" s="1">
        <f t="shared" si="5"/>
        <v>3.2161890698375355E-10</v>
      </c>
      <c r="G4">
        <v>5877573</v>
      </c>
      <c r="H4">
        <v>4095</v>
      </c>
      <c r="J4">
        <v>16</v>
      </c>
      <c r="K4" s="2">
        <f t="shared" si="0"/>
        <v>1.5468824609884399E-4</v>
      </c>
      <c r="L4" s="5">
        <f t="shared" si="6"/>
        <v>1.9329018505141439E-4</v>
      </c>
      <c r="M4" s="3">
        <f t="shared" si="1"/>
        <v>5892575.4000000004</v>
      </c>
      <c r="N4" s="4">
        <f t="shared" si="2"/>
        <v>4094</v>
      </c>
      <c r="O4" s="6"/>
      <c r="P4" s="6"/>
      <c r="Q4" s="3">
        <f t="shared" si="3"/>
        <v>97478260.605840072</v>
      </c>
      <c r="R4" s="3">
        <f t="shared" si="4"/>
        <v>22761841.356522955</v>
      </c>
    </row>
    <row r="5" spans="1:18" x14ac:dyDescent="0.4">
      <c r="A5">
        <v>22</v>
      </c>
      <c r="B5">
        <v>0.64960476741992701</v>
      </c>
      <c r="C5">
        <v>2.0820382456602501E-4</v>
      </c>
      <c r="D5">
        <v>0.64967434243424305</v>
      </c>
      <c r="E5" s="1">
        <v>6.9575014315592599E-5</v>
      </c>
      <c r="F5" s="1">
        <f t="shared" si="5"/>
        <v>4.8406826170149148E-9</v>
      </c>
      <c r="G5">
        <v>13964128</v>
      </c>
      <c r="H5">
        <v>4802</v>
      </c>
      <c r="J5">
        <v>22</v>
      </c>
      <c r="K5" s="2">
        <f t="shared" si="0"/>
        <v>2.8312386693526379E-4</v>
      </c>
      <c r="L5" s="5">
        <f t="shared" si="6"/>
        <v>3.2824461742055955E-4</v>
      </c>
      <c r="M5" s="3">
        <f t="shared" si="1"/>
        <v>13981021.199999999</v>
      </c>
      <c r="N5" s="4">
        <f t="shared" si="2"/>
        <v>4801.8</v>
      </c>
      <c r="O5" s="6"/>
      <c r="P5" s="6"/>
      <c r="Q5" s="3">
        <f t="shared" si="3"/>
        <v>46476653.164291337</v>
      </c>
      <c r="R5" s="3">
        <f t="shared" si="4"/>
        <v>31297531.865219064</v>
      </c>
    </row>
    <row r="6" spans="1:18" x14ac:dyDescent="0.4">
      <c r="A6">
        <v>32</v>
      </c>
      <c r="B6">
        <v>0.64960476741992701</v>
      </c>
      <c r="C6">
        <v>1.7263349150062099E-4</v>
      </c>
      <c r="D6">
        <v>0.64907428242824206</v>
      </c>
      <c r="E6">
        <v>5.30484991684954E-4</v>
      </c>
      <c r="F6" s="1">
        <f t="shared" si="5"/>
        <v>2.8141432640298572E-7</v>
      </c>
      <c r="G6">
        <v>21175491</v>
      </c>
      <c r="H6">
        <v>5792</v>
      </c>
      <c r="J6">
        <v>32</v>
      </c>
      <c r="K6" s="2">
        <f t="shared" si="0"/>
        <v>2.7532530980525169E-4</v>
      </c>
      <c r="L6" s="5">
        <f t="shared" si="6"/>
        <v>3.2119642480153433E-4</v>
      </c>
      <c r="M6" s="3">
        <f t="shared" si="1"/>
        <v>21276286.399999999</v>
      </c>
      <c r="N6" s="4">
        <f t="shared" si="2"/>
        <v>5792</v>
      </c>
      <c r="O6" s="6"/>
      <c r="P6" s="6"/>
      <c r="Q6" s="3">
        <f t="shared" si="3"/>
        <v>70601831.171514302</v>
      </c>
      <c r="R6" s="3">
        <f t="shared" si="4"/>
        <v>45523682.71304591</v>
      </c>
    </row>
    <row r="7" spans="1:18" x14ac:dyDescent="0.4">
      <c r="A7">
        <v>45</v>
      </c>
      <c r="B7">
        <v>0.64960476741992701</v>
      </c>
      <c r="C7">
        <v>1.4557734228514199E-4</v>
      </c>
      <c r="D7">
        <v>0.64937431243124299</v>
      </c>
      <c r="E7">
        <v>2.30454988684569E-4</v>
      </c>
      <c r="F7" s="1">
        <f t="shared" si="5"/>
        <v>5.3109501809604825E-8</v>
      </c>
      <c r="G7">
        <v>31411628</v>
      </c>
      <c r="H7">
        <v>6869</v>
      </c>
      <c r="J7">
        <v>45</v>
      </c>
      <c r="K7" s="2">
        <f t="shared" si="0"/>
        <v>1.5547693633077814E-4</v>
      </c>
      <c r="L7" s="5">
        <f t="shared" si="6"/>
        <v>2.0663988873109669E-4</v>
      </c>
      <c r="M7" s="3">
        <f t="shared" si="1"/>
        <v>31395329.800000001</v>
      </c>
      <c r="N7" s="4">
        <f t="shared" si="2"/>
        <v>6867.9</v>
      </c>
      <c r="O7" s="6"/>
      <c r="P7" s="6"/>
      <c r="Q7" s="3">
        <f t="shared" si="3"/>
        <v>239878645.15635109</v>
      </c>
      <c r="R7" s="3">
        <f t="shared" si="4"/>
        <v>64017678.815220803</v>
      </c>
    </row>
    <row r="8" spans="1:18" x14ac:dyDescent="0.4">
      <c r="A8">
        <v>64</v>
      </c>
      <c r="B8">
        <v>0.64960476741992701</v>
      </c>
      <c r="C8">
        <v>1.220703125E-4</v>
      </c>
      <c r="D8">
        <v>0.64922429742974297</v>
      </c>
      <c r="E8">
        <v>3.8046999018481699E-4</v>
      </c>
      <c r="F8" s="1">
        <f t="shared" si="5"/>
        <v>1.4475741343123474E-7</v>
      </c>
      <c r="G8">
        <v>47082840</v>
      </c>
      <c r="H8">
        <v>8191</v>
      </c>
      <c r="J8">
        <v>64</v>
      </c>
      <c r="K8" s="2">
        <f t="shared" si="0"/>
        <v>3.2861925056221176E-4</v>
      </c>
      <c r="L8" s="5">
        <f t="shared" si="6"/>
        <v>3.9811294668683602E-4</v>
      </c>
      <c r="M8" s="3">
        <f t="shared" si="1"/>
        <v>47198446.399999999</v>
      </c>
      <c r="N8" s="4">
        <f t="shared" si="2"/>
        <v>8190.3</v>
      </c>
      <c r="O8" s="6"/>
      <c r="P8" s="6"/>
      <c r="Q8" s="3">
        <f t="shared" si="3"/>
        <v>91912539.122116357</v>
      </c>
      <c r="R8" s="3">
        <f t="shared" si="4"/>
        <v>91047365.42609182</v>
      </c>
    </row>
    <row r="9" spans="1:18" x14ac:dyDescent="0.4">
      <c r="A9">
        <v>8</v>
      </c>
      <c r="B9">
        <v>0.64960476741992701</v>
      </c>
      <c r="C9">
        <v>3.4526698300124301E-4</v>
      </c>
      <c r="D9">
        <v>0.64952432743274302</v>
      </c>
      <c r="E9" s="1">
        <v>8.0439987184433001E-5</v>
      </c>
      <c r="F9" s="1">
        <f t="shared" si="5"/>
        <v>6.4705915382317454E-9</v>
      </c>
      <c r="G9">
        <v>2650801</v>
      </c>
      <c r="H9">
        <v>2896</v>
      </c>
      <c r="K9" s="2"/>
      <c r="L9" s="5"/>
      <c r="M9" s="3"/>
      <c r="N9" s="4"/>
      <c r="Q9" s="3"/>
      <c r="R9" s="3"/>
    </row>
    <row r="10" spans="1:18" x14ac:dyDescent="0.4">
      <c r="A10">
        <v>11</v>
      </c>
      <c r="B10">
        <v>0.64960476741992701</v>
      </c>
      <c r="C10">
        <v>2.9444467243922202E-4</v>
      </c>
      <c r="D10">
        <v>0.64984935993599302</v>
      </c>
      <c r="E10">
        <v>2.4459251606589999E-4</v>
      </c>
      <c r="F10" s="1">
        <f t="shared" si="5"/>
        <v>5.9825498915447548E-8</v>
      </c>
      <c r="G10">
        <v>3786039</v>
      </c>
      <c r="H10">
        <v>3393</v>
      </c>
      <c r="K10" s="2"/>
      <c r="L10" s="2"/>
      <c r="M10" s="3"/>
      <c r="N10" s="4"/>
      <c r="Q10" s="3"/>
      <c r="R10" s="3"/>
    </row>
    <row r="11" spans="1:18" x14ac:dyDescent="0.4">
      <c r="A11">
        <v>16</v>
      </c>
      <c r="B11">
        <v>0.64960476741992701</v>
      </c>
      <c r="C11">
        <v>2.44140625E-4</v>
      </c>
      <c r="D11">
        <v>0.64967434243424305</v>
      </c>
      <c r="E11" s="1">
        <v>6.9575014315481604E-5</v>
      </c>
      <c r="F11" s="1">
        <f t="shared" si="5"/>
        <v>4.8406826169994705E-9</v>
      </c>
      <c r="G11">
        <v>5883684</v>
      </c>
      <c r="H11">
        <v>4095</v>
      </c>
    </row>
    <row r="12" spans="1:18" x14ac:dyDescent="0.4">
      <c r="A12">
        <v>22</v>
      </c>
      <c r="B12">
        <v>0.64960476741992701</v>
      </c>
      <c r="C12">
        <v>2.0820382456602501E-4</v>
      </c>
      <c r="D12">
        <v>0.64937431243124299</v>
      </c>
      <c r="E12">
        <v>2.30454988684569E-4</v>
      </c>
      <c r="F12" s="1">
        <f t="shared" si="5"/>
        <v>5.3109501809604825E-8</v>
      </c>
      <c r="G12">
        <v>13982289</v>
      </c>
      <c r="H12">
        <v>4802</v>
      </c>
    </row>
    <row r="13" spans="1:18" x14ac:dyDescent="0.4">
      <c r="A13">
        <v>32</v>
      </c>
      <c r="B13">
        <v>0.64960476741992701</v>
      </c>
      <c r="C13">
        <v>1.7263349150062099E-4</v>
      </c>
      <c r="D13">
        <v>0.64898677367736701</v>
      </c>
      <c r="E13">
        <v>6.1799374256010699E-4</v>
      </c>
      <c r="F13" s="1">
        <f t="shared" si="5"/>
        <v>3.819162658434478E-7</v>
      </c>
      <c r="G13">
        <v>21247774</v>
      </c>
      <c r="H13">
        <v>5792</v>
      </c>
    </row>
    <row r="14" spans="1:18" x14ac:dyDescent="0.4">
      <c r="A14">
        <v>45</v>
      </c>
      <c r="B14">
        <v>0.64960476741992701</v>
      </c>
      <c r="C14">
        <v>1.4557734228514199E-4</v>
      </c>
      <c r="D14">
        <v>0.64928680368036795</v>
      </c>
      <c r="E14">
        <v>3.1796373955972302E-4</v>
      </c>
      <c r="F14" s="1">
        <f t="shared" si="5"/>
        <v>1.0110093967480337E-7</v>
      </c>
      <c r="G14">
        <v>31385794</v>
      </c>
      <c r="H14">
        <v>6866</v>
      </c>
    </row>
    <row r="15" spans="1:18" x14ac:dyDescent="0.4">
      <c r="A15">
        <v>64</v>
      </c>
      <c r="B15">
        <v>0.64960476741992701</v>
      </c>
      <c r="C15">
        <v>1.220703125E-4</v>
      </c>
      <c r="D15">
        <v>0.64950557555755495</v>
      </c>
      <c r="E15" s="1">
        <v>9.9191862371950101E-5</v>
      </c>
      <c r="F15" s="1">
        <f t="shared" si="5"/>
        <v>9.8390255608158898E-9</v>
      </c>
      <c r="G15">
        <v>47244252</v>
      </c>
      <c r="H15">
        <v>8188</v>
      </c>
    </row>
    <row r="16" spans="1:18" x14ac:dyDescent="0.4">
      <c r="A16">
        <v>8</v>
      </c>
      <c r="B16">
        <v>0.64960476741992701</v>
      </c>
      <c r="C16">
        <v>3.4526698300124301E-4</v>
      </c>
      <c r="D16">
        <v>0.64938056305630498</v>
      </c>
      <c r="E16">
        <v>2.24204363622138E-4</v>
      </c>
      <c r="F16" s="1">
        <f t="shared" si="5"/>
        <v>5.026759666720788E-8</v>
      </c>
      <c r="G16">
        <v>2658891</v>
      </c>
      <c r="H16">
        <v>2895</v>
      </c>
    </row>
    <row r="17" spans="1:8" x14ac:dyDescent="0.4">
      <c r="A17">
        <v>11</v>
      </c>
      <c r="B17">
        <v>0.64960476741992701</v>
      </c>
      <c r="C17">
        <v>2.9444467243922202E-4</v>
      </c>
      <c r="D17">
        <v>0.64976185118511798</v>
      </c>
      <c r="E17">
        <v>1.57083765190746E-4</v>
      </c>
      <c r="F17" s="1">
        <f t="shared" si="5"/>
        <v>2.4675309286501423E-8</v>
      </c>
      <c r="G17">
        <v>3825268</v>
      </c>
      <c r="H17">
        <v>3396</v>
      </c>
    </row>
    <row r="18" spans="1:8" x14ac:dyDescent="0.4">
      <c r="A18">
        <v>16</v>
      </c>
      <c r="B18">
        <v>0.64960476741992701</v>
      </c>
      <c r="C18">
        <v>2.44140625E-4</v>
      </c>
      <c r="D18">
        <v>0.64967434243424305</v>
      </c>
      <c r="E18" s="1">
        <v>6.9575014315481604E-5</v>
      </c>
      <c r="F18" s="1">
        <f t="shared" si="5"/>
        <v>4.8406826169994705E-9</v>
      </c>
      <c r="G18">
        <v>5924858</v>
      </c>
      <c r="H18">
        <v>4095</v>
      </c>
    </row>
    <row r="19" spans="1:8" x14ac:dyDescent="0.4">
      <c r="A19">
        <v>22</v>
      </c>
      <c r="B19">
        <v>0.64960476741992701</v>
      </c>
      <c r="C19">
        <v>2.0820382456602501E-4</v>
      </c>
      <c r="D19">
        <v>0.64937431243124299</v>
      </c>
      <c r="E19">
        <v>2.30454988684569E-4</v>
      </c>
      <c r="F19" s="1">
        <f t="shared" si="5"/>
        <v>5.3109501809604825E-8</v>
      </c>
      <c r="G19">
        <v>13985900</v>
      </c>
      <c r="H19">
        <v>4802</v>
      </c>
    </row>
    <row r="20" spans="1:8" x14ac:dyDescent="0.4">
      <c r="A20">
        <v>32</v>
      </c>
      <c r="B20">
        <v>0.64960476741992701</v>
      </c>
      <c r="C20">
        <v>1.7263349150062099E-4</v>
      </c>
      <c r="D20">
        <v>0.64982435743574296</v>
      </c>
      <c r="E20">
        <v>2.1959001581572899E-4</v>
      </c>
      <c r="F20" s="1">
        <f t="shared" si="5"/>
        <v>4.8219775045952109E-8</v>
      </c>
      <c r="G20">
        <v>21312738</v>
      </c>
      <c r="H20">
        <v>5792</v>
      </c>
    </row>
    <row r="21" spans="1:8" x14ac:dyDescent="0.4">
      <c r="A21">
        <v>45</v>
      </c>
      <c r="B21">
        <v>0.64960476741992701</v>
      </c>
      <c r="C21">
        <v>1.4557734228514199E-4</v>
      </c>
      <c r="D21">
        <v>0.64961183618361795</v>
      </c>
      <c r="E21" s="1">
        <v>7.0687636907207304E-6</v>
      </c>
      <c r="F21" s="1">
        <f t="shared" si="5"/>
        <v>4.996742011525176E-11</v>
      </c>
      <c r="G21">
        <v>31396987</v>
      </c>
      <c r="H21">
        <v>6869</v>
      </c>
    </row>
    <row r="22" spans="1:8" x14ac:dyDescent="0.4">
      <c r="A22">
        <v>64</v>
      </c>
      <c r="B22">
        <v>0.64960476741992701</v>
      </c>
      <c r="C22">
        <v>1.220703125E-4</v>
      </c>
      <c r="D22">
        <v>0.64922429742974297</v>
      </c>
      <c r="E22">
        <v>3.8046999018481699E-4</v>
      </c>
      <c r="F22" s="1">
        <f t="shared" si="5"/>
        <v>1.4475741343123474E-7</v>
      </c>
      <c r="G22">
        <v>47191089</v>
      </c>
      <c r="H22">
        <v>8190</v>
      </c>
    </row>
    <row r="23" spans="1:8" x14ac:dyDescent="0.4">
      <c r="A23">
        <v>8</v>
      </c>
      <c r="B23">
        <v>0.64960476741992701</v>
      </c>
      <c r="C23">
        <v>3.4526698300124301E-4</v>
      </c>
      <c r="D23">
        <v>0.64952432743274302</v>
      </c>
      <c r="E23" s="1">
        <v>8.0439987184433001E-5</v>
      </c>
      <c r="F23" s="1">
        <f t="shared" si="5"/>
        <v>6.4705915382317454E-9</v>
      </c>
      <c r="G23">
        <v>2651900</v>
      </c>
      <c r="H23">
        <v>2893</v>
      </c>
    </row>
    <row r="24" spans="1:8" x14ac:dyDescent="0.4">
      <c r="A24">
        <v>11</v>
      </c>
      <c r="B24">
        <v>0.64960476741992701</v>
      </c>
      <c r="C24">
        <v>2.9444467243922202E-4</v>
      </c>
      <c r="D24">
        <v>0.64976810181018096</v>
      </c>
      <c r="E24">
        <v>1.63334390253178E-4</v>
      </c>
      <c r="F24" s="1">
        <f t="shared" si="5"/>
        <v>2.6678123039377449E-8</v>
      </c>
      <c r="G24">
        <v>3844763</v>
      </c>
      <c r="H24">
        <v>3387</v>
      </c>
    </row>
    <row r="25" spans="1:8" x14ac:dyDescent="0.4">
      <c r="A25">
        <v>16</v>
      </c>
      <c r="B25">
        <v>0.64960476741992701</v>
      </c>
      <c r="C25">
        <v>2.44140625E-4</v>
      </c>
      <c r="D25">
        <v>0.64967434243424305</v>
      </c>
      <c r="E25" s="1">
        <v>6.9575014315481604E-5</v>
      </c>
      <c r="F25" s="1">
        <f t="shared" si="5"/>
        <v>4.8406826169994705E-9</v>
      </c>
      <c r="G25">
        <v>5889943</v>
      </c>
      <c r="H25">
        <v>4095</v>
      </c>
    </row>
    <row r="26" spans="1:8" x14ac:dyDescent="0.4">
      <c r="A26">
        <v>22</v>
      </c>
      <c r="B26">
        <v>0.64960476741992701</v>
      </c>
      <c r="C26">
        <v>2.0820382456602501E-4</v>
      </c>
      <c r="D26">
        <v>0.64937431243124299</v>
      </c>
      <c r="E26">
        <v>2.30454988684569E-4</v>
      </c>
      <c r="F26" s="1">
        <f t="shared" si="5"/>
        <v>5.3109501809604825E-8</v>
      </c>
      <c r="G26">
        <v>13948884</v>
      </c>
      <c r="H26">
        <v>4802</v>
      </c>
    </row>
    <row r="27" spans="1:8" x14ac:dyDescent="0.4">
      <c r="A27">
        <v>32</v>
      </c>
      <c r="B27">
        <v>0.64960476741992701</v>
      </c>
      <c r="C27">
        <v>1.7263349150062099E-4</v>
      </c>
      <c r="D27">
        <v>0.64945557055705505</v>
      </c>
      <c r="E27">
        <v>1.4919686287184701E-4</v>
      </c>
      <c r="F27" s="1">
        <f t="shared" si="5"/>
        <v>2.2259703890800721E-8</v>
      </c>
      <c r="G27">
        <v>21286807</v>
      </c>
      <c r="H27">
        <v>5792</v>
      </c>
    </row>
    <row r="28" spans="1:8" x14ac:dyDescent="0.4">
      <c r="A28">
        <v>45</v>
      </c>
      <c r="B28">
        <v>0.64960476741992701</v>
      </c>
      <c r="C28">
        <v>1.4557734228514199E-4</v>
      </c>
      <c r="D28">
        <v>0.64967434243424305</v>
      </c>
      <c r="E28" s="1">
        <v>6.9575014315703595E-5</v>
      </c>
      <c r="F28" s="1">
        <f t="shared" si="5"/>
        <v>4.8406826170303599E-9</v>
      </c>
      <c r="G28">
        <v>31376582</v>
      </c>
      <c r="H28">
        <v>6869</v>
      </c>
    </row>
    <row r="29" spans="1:8" x14ac:dyDescent="0.4">
      <c r="A29">
        <v>64</v>
      </c>
      <c r="B29">
        <v>0.64960476741992701</v>
      </c>
      <c r="C29">
        <v>1.220703125E-4</v>
      </c>
      <c r="D29">
        <v>0.64952432743274302</v>
      </c>
      <c r="E29" s="1">
        <v>8.0439987184433001E-5</v>
      </c>
      <c r="F29" s="1">
        <f t="shared" si="5"/>
        <v>6.4705915382317454E-9</v>
      </c>
      <c r="G29">
        <v>47241417</v>
      </c>
      <c r="H29">
        <v>8191</v>
      </c>
    </row>
    <row r="30" spans="1:8" x14ac:dyDescent="0.4">
      <c r="A30">
        <v>8</v>
      </c>
      <c r="B30">
        <v>0.64960476741992701</v>
      </c>
      <c r="C30">
        <v>3.4526698300124301E-4</v>
      </c>
      <c r="D30">
        <v>0.64939306430642996</v>
      </c>
      <c r="E30">
        <v>2.11703113497052E-4</v>
      </c>
      <c r="F30" s="1">
        <f t="shared" si="5"/>
        <v>4.481820826434568E-8</v>
      </c>
      <c r="G30">
        <v>2644405</v>
      </c>
      <c r="H30">
        <v>2896</v>
      </c>
    </row>
    <row r="31" spans="1:8" x14ac:dyDescent="0.4">
      <c r="A31">
        <v>11</v>
      </c>
      <c r="B31">
        <v>0.64960476741992701</v>
      </c>
      <c r="C31">
        <v>2.9444467243922202E-4</v>
      </c>
      <c r="D31">
        <v>0.64984310931093103</v>
      </c>
      <c r="E31">
        <v>2.3834189100335699E-4</v>
      </c>
      <c r="F31" s="1">
        <f t="shared" si="5"/>
        <v>5.6806857007056107E-8</v>
      </c>
      <c r="G31">
        <v>3811029</v>
      </c>
      <c r="H31">
        <v>3395</v>
      </c>
    </row>
    <row r="32" spans="1:8" x14ac:dyDescent="0.4">
      <c r="A32">
        <v>16</v>
      </c>
      <c r="B32">
        <v>0.64960476741992701</v>
      </c>
      <c r="C32">
        <v>2.44140625E-4</v>
      </c>
      <c r="D32">
        <v>0.64950557555755495</v>
      </c>
      <c r="E32" s="1">
        <v>9.9191862372061097E-5</v>
      </c>
      <c r="F32" s="1">
        <f t="shared" si="5"/>
        <v>9.8390255608379093E-9</v>
      </c>
      <c r="G32">
        <v>5878063</v>
      </c>
      <c r="H32">
        <v>4093</v>
      </c>
    </row>
    <row r="33" spans="1:8" x14ac:dyDescent="0.4">
      <c r="A33">
        <v>22</v>
      </c>
      <c r="B33">
        <v>0.64960476741992701</v>
      </c>
      <c r="C33">
        <v>2.0820382456602501E-4</v>
      </c>
      <c r="D33">
        <v>0.64952432743274302</v>
      </c>
      <c r="E33" s="1">
        <v>8.0439987184433001E-5</v>
      </c>
      <c r="F33" s="1">
        <f t="shared" si="5"/>
        <v>6.4705915382317454E-9</v>
      </c>
      <c r="G33">
        <v>13983745</v>
      </c>
      <c r="H33">
        <v>4800</v>
      </c>
    </row>
    <row r="34" spans="1:8" x14ac:dyDescent="0.4">
      <c r="A34">
        <v>32</v>
      </c>
      <c r="B34">
        <v>0.64960476741992701</v>
      </c>
      <c r="C34">
        <v>1.7263349150062099E-4</v>
      </c>
      <c r="D34">
        <v>0.64945557055705505</v>
      </c>
      <c r="E34">
        <v>1.49196862872069E-4</v>
      </c>
      <c r="F34" s="1">
        <f t="shared" si="5"/>
        <v>2.2259703890866962E-8</v>
      </c>
      <c r="G34">
        <v>21257604</v>
      </c>
      <c r="H34">
        <v>5792</v>
      </c>
    </row>
    <row r="35" spans="1:8" x14ac:dyDescent="0.4">
      <c r="A35">
        <v>45</v>
      </c>
      <c r="B35">
        <v>0.64960476741992701</v>
      </c>
      <c r="C35">
        <v>1.4557734228514199E-4</v>
      </c>
      <c r="D35">
        <v>0.64967434243424305</v>
      </c>
      <c r="E35" s="1">
        <v>6.9575014315592599E-5</v>
      </c>
      <c r="F35" s="1">
        <f t="shared" si="5"/>
        <v>4.8406826170149148E-9</v>
      </c>
      <c r="G35">
        <v>31366113</v>
      </c>
      <c r="H35">
        <v>6868</v>
      </c>
    </row>
    <row r="36" spans="1:8" x14ac:dyDescent="0.4">
      <c r="A36">
        <v>64</v>
      </c>
      <c r="B36">
        <v>0.64960476741992701</v>
      </c>
      <c r="C36">
        <v>1.220703125E-4</v>
      </c>
      <c r="D36">
        <v>0.65021189618961905</v>
      </c>
      <c r="E36">
        <v>6.0712876969137798E-4</v>
      </c>
      <c r="F36" s="1">
        <f t="shared" si="5"/>
        <v>3.6860534298696629E-7</v>
      </c>
      <c r="G36">
        <v>47204979</v>
      </c>
      <c r="H36">
        <v>8191</v>
      </c>
    </row>
    <row r="37" spans="1:8" x14ac:dyDescent="0.4">
      <c r="A37">
        <v>8</v>
      </c>
      <c r="B37">
        <v>0.64960476741992701</v>
      </c>
      <c r="C37">
        <v>3.4526698300124301E-4</v>
      </c>
      <c r="D37">
        <v>0.64989311431143104</v>
      </c>
      <c r="E37">
        <v>2.8834689150325499E-4</v>
      </c>
      <c r="F37" s="1">
        <f t="shared" si="5"/>
        <v>8.3143929839589897E-8</v>
      </c>
      <c r="G37">
        <v>2653811</v>
      </c>
      <c r="H37">
        <v>2893</v>
      </c>
    </row>
    <row r="38" spans="1:8" x14ac:dyDescent="0.4">
      <c r="A38">
        <v>11</v>
      </c>
      <c r="B38">
        <v>0.64960476741992701</v>
      </c>
      <c r="C38">
        <v>2.9444467243922202E-4</v>
      </c>
      <c r="D38">
        <v>0.64959308430842999</v>
      </c>
      <c r="E38" s="1">
        <v>1.16831114969073E-5</v>
      </c>
      <c r="F38" s="1">
        <f t="shared" si="5"/>
        <v>1.3649509424916752E-10</v>
      </c>
      <c r="G38">
        <v>3834187</v>
      </c>
      <c r="H38">
        <v>3395</v>
      </c>
    </row>
    <row r="39" spans="1:8" x14ac:dyDescent="0.4">
      <c r="A39">
        <v>16</v>
      </c>
      <c r="B39">
        <v>0.64960476741992701</v>
      </c>
      <c r="C39">
        <v>2.44140625E-4</v>
      </c>
      <c r="D39">
        <v>0.64938056305630498</v>
      </c>
      <c r="E39">
        <v>2.24204363622138E-4</v>
      </c>
      <c r="F39" s="1">
        <f t="shared" si="5"/>
        <v>5.026759666720788E-8</v>
      </c>
      <c r="G39">
        <v>5878376</v>
      </c>
      <c r="H39">
        <v>4093</v>
      </c>
    </row>
    <row r="40" spans="1:8" x14ac:dyDescent="0.4">
      <c r="A40">
        <v>22</v>
      </c>
      <c r="B40">
        <v>0.64960476741992701</v>
      </c>
      <c r="C40">
        <v>2.0820382456602501E-4</v>
      </c>
      <c r="D40">
        <v>0.64928680368036795</v>
      </c>
      <c r="E40">
        <v>3.1796373955972302E-4</v>
      </c>
      <c r="F40" s="1">
        <f t="shared" si="5"/>
        <v>1.0110093967480337E-7</v>
      </c>
      <c r="G40">
        <v>13934239</v>
      </c>
      <c r="H40">
        <v>4802</v>
      </c>
    </row>
    <row r="41" spans="1:8" x14ac:dyDescent="0.4">
      <c r="A41">
        <v>32</v>
      </c>
      <c r="B41">
        <v>0.64960476741992701</v>
      </c>
      <c r="C41">
        <v>1.7263349150062099E-4</v>
      </c>
      <c r="D41">
        <v>0.64952432743274302</v>
      </c>
      <c r="E41" s="1">
        <v>8.0439987184433001E-5</v>
      </c>
      <c r="F41" s="1">
        <f t="shared" si="5"/>
        <v>6.4705915382317454E-9</v>
      </c>
      <c r="G41">
        <v>21329287</v>
      </c>
      <c r="H41">
        <v>5792</v>
      </c>
    </row>
    <row r="42" spans="1:8" x14ac:dyDescent="0.4">
      <c r="A42">
        <v>45</v>
      </c>
      <c r="B42">
        <v>0.64960476741992701</v>
      </c>
      <c r="C42">
        <v>1.4557734228514199E-4</v>
      </c>
      <c r="D42">
        <v>0.64928055305530497</v>
      </c>
      <c r="E42">
        <v>3.2421436462215498E-4</v>
      </c>
      <c r="F42" s="1">
        <f t="shared" si="5"/>
        <v>1.0511495422734766E-7</v>
      </c>
      <c r="G42">
        <v>31496709</v>
      </c>
      <c r="H42">
        <v>6868</v>
      </c>
    </row>
    <row r="43" spans="1:8" x14ac:dyDescent="0.4">
      <c r="A43">
        <v>64</v>
      </c>
      <c r="B43">
        <v>0.64960476741992701</v>
      </c>
      <c r="C43">
        <v>1.220703125E-4</v>
      </c>
      <c r="D43">
        <v>0.64976185118511798</v>
      </c>
      <c r="E43">
        <v>1.57083765190635E-4</v>
      </c>
      <c r="F43" s="1">
        <f t="shared" si="5"/>
        <v>2.4675309286466553E-8</v>
      </c>
      <c r="G43">
        <v>47278889</v>
      </c>
      <c r="H43">
        <v>8191</v>
      </c>
    </row>
    <row r="44" spans="1:8" x14ac:dyDescent="0.4">
      <c r="A44">
        <v>8</v>
      </c>
      <c r="B44">
        <v>0.64960476741992701</v>
      </c>
      <c r="C44">
        <v>3.4526698300124301E-4</v>
      </c>
      <c r="D44">
        <v>0.65006188118811803</v>
      </c>
      <c r="E44">
        <v>4.5711376819101897E-4</v>
      </c>
      <c r="F44" s="1">
        <f t="shared" si="5"/>
        <v>2.0895299706979262E-7</v>
      </c>
      <c r="G44">
        <v>2650144</v>
      </c>
      <c r="H44">
        <v>2896</v>
      </c>
    </row>
    <row r="45" spans="1:8" x14ac:dyDescent="0.4">
      <c r="A45">
        <v>11</v>
      </c>
      <c r="B45">
        <v>0.64960476741992701</v>
      </c>
      <c r="C45">
        <v>2.9444467243922202E-4</v>
      </c>
      <c r="D45">
        <v>0.64950557555755495</v>
      </c>
      <c r="E45" s="1">
        <v>9.9191862371950101E-5</v>
      </c>
      <c r="F45" s="1">
        <f t="shared" si="5"/>
        <v>9.8390255608158898E-9</v>
      </c>
      <c r="G45">
        <v>3824729</v>
      </c>
      <c r="H45">
        <v>3394</v>
      </c>
    </row>
    <row r="46" spans="1:8" x14ac:dyDescent="0.4">
      <c r="A46">
        <v>16</v>
      </c>
      <c r="B46">
        <v>0.64960476741992701</v>
      </c>
      <c r="C46">
        <v>2.44140625E-4</v>
      </c>
      <c r="D46">
        <v>0.64921804680467998</v>
      </c>
      <c r="E46">
        <v>3.8672061524724899E-4</v>
      </c>
      <c r="F46" s="1">
        <f t="shared" si="5"/>
        <v>1.4955283425721079E-7</v>
      </c>
      <c r="G46">
        <v>5856202</v>
      </c>
      <c r="H46">
        <v>4094</v>
      </c>
    </row>
    <row r="47" spans="1:8" x14ac:dyDescent="0.4">
      <c r="A47">
        <v>22</v>
      </c>
      <c r="B47">
        <v>0.64960476741992701</v>
      </c>
      <c r="C47">
        <v>2.0820382456602501E-4</v>
      </c>
      <c r="D47">
        <v>0.64937431243124299</v>
      </c>
      <c r="E47">
        <v>2.30454988684569E-4</v>
      </c>
      <c r="F47" s="1">
        <f t="shared" si="5"/>
        <v>5.3109501809604825E-8</v>
      </c>
      <c r="G47">
        <v>13974347</v>
      </c>
      <c r="H47">
        <v>4802</v>
      </c>
    </row>
    <row r="48" spans="1:8" x14ac:dyDescent="0.4">
      <c r="A48">
        <v>32</v>
      </c>
      <c r="B48">
        <v>0.64960476741992701</v>
      </c>
      <c r="C48">
        <v>1.7263349150062099E-4</v>
      </c>
      <c r="D48">
        <v>0.64928680368036795</v>
      </c>
      <c r="E48">
        <v>3.1796373955972302E-4</v>
      </c>
      <c r="F48" s="1">
        <f t="shared" si="5"/>
        <v>1.0110093967480337E-7</v>
      </c>
      <c r="G48">
        <v>21298616</v>
      </c>
      <c r="H48">
        <v>5792</v>
      </c>
    </row>
    <row r="49" spans="1:8" x14ac:dyDescent="0.4">
      <c r="A49">
        <v>45</v>
      </c>
      <c r="B49">
        <v>0.64960476741992701</v>
      </c>
      <c r="C49">
        <v>1.4557734228514199E-4</v>
      </c>
      <c r="D49">
        <v>0.649586833683368</v>
      </c>
      <c r="E49" s="1">
        <v>1.7933736559560999E-5</v>
      </c>
      <c r="F49" s="1">
        <f t="shared" si="5"/>
        <v>3.2161890698773477E-10</v>
      </c>
      <c r="G49">
        <v>31452680</v>
      </c>
      <c r="H49">
        <v>6869</v>
      </c>
    </row>
    <row r="50" spans="1:8" x14ac:dyDescent="0.4">
      <c r="A50">
        <v>64</v>
      </c>
      <c r="B50">
        <v>0.64960476741992701</v>
      </c>
      <c r="C50">
        <v>1.220703125E-4</v>
      </c>
      <c r="D50">
        <v>0.64967434243424305</v>
      </c>
      <c r="E50" s="1">
        <v>6.9575014315481604E-5</v>
      </c>
      <c r="F50" s="1">
        <f t="shared" si="5"/>
        <v>4.8406826169994705E-9</v>
      </c>
      <c r="G50">
        <v>47159034</v>
      </c>
      <c r="H50">
        <v>8191</v>
      </c>
    </row>
    <row r="51" spans="1:8" x14ac:dyDescent="0.4">
      <c r="A51">
        <v>8</v>
      </c>
      <c r="B51">
        <v>0.64960476741992701</v>
      </c>
      <c r="C51">
        <v>3.4526698300124301E-4</v>
      </c>
      <c r="D51">
        <v>0.649586833683368</v>
      </c>
      <c r="E51" s="1">
        <v>1.7933736559450001E-5</v>
      </c>
      <c r="F51" s="1">
        <f t="shared" si="5"/>
        <v>3.2161890698375355E-10</v>
      </c>
      <c r="G51">
        <v>2667231</v>
      </c>
      <c r="H51">
        <v>2896</v>
      </c>
    </row>
    <row r="52" spans="1:8" x14ac:dyDescent="0.4">
      <c r="A52">
        <v>11</v>
      </c>
      <c r="B52">
        <v>0.64960476741992701</v>
      </c>
      <c r="C52">
        <v>2.9444467243922202E-4</v>
      </c>
      <c r="D52">
        <v>0.64952432743274302</v>
      </c>
      <c r="E52" s="1">
        <v>8.0439987184543997E-5</v>
      </c>
      <c r="F52" s="1">
        <f t="shared" si="5"/>
        <v>6.4705915382496026E-9</v>
      </c>
      <c r="G52">
        <v>3822165</v>
      </c>
      <c r="H52">
        <v>3396</v>
      </c>
    </row>
    <row r="53" spans="1:8" x14ac:dyDescent="0.4">
      <c r="A53">
        <v>16</v>
      </c>
      <c r="B53">
        <v>0.64960476741992701</v>
      </c>
      <c r="C53">
        <v>2.44140625E-4</v>
      </c>
      <c r="D53">
        <v>0.64930555555555503</v>
      </c>
      <c r="E53">
        <v>2.9921186437209502E-4</v>
      </c>
      <c r="F53" s="1">
        <f t="shared" si="5"/>
        <v>8.9527739781024992E-8</v>
      </c>
      <c r="G53">
        <v>5935576</v>
      </c>
      <c r="H53">
        <v>4093</v>
      </c>
    </row>
    <row r="54" spans="1:8" x14ac:dyDescent="0.4">
      <c r="A54">
        <v>22</v>
      </c>
      <c r="B54">
        <v>0.64960476741992701</v>
      </c>
      <c r="C54">
        <v>2.0820382456602501E-4</v>
      </c>
      <c r="D54">
        <v>0.64892426742674203</v>
      </c>
      <c r="E54">
        <v>6.8049999318497902E-4</v>
      </c>
      <c r="F54" s="1">
        <f t="shared" si="5"/>
        <v>4.630802407247565E-7</v>
      </c>
      <c r="G54">
        <v>14039979</v>
      </c>
      <c r="H54">
        <v>4802</v>
      </c>
    </row>
    <row r="55" spans="1:8" x14ac:dyDescent="0.4">
      <c r="A55">
        <v>32</v>
      </c>
      <c r="B55">
        <v>0.64960476741992701</v>
      </c>
      <c r="C55">
        <v>1.7263349150062099E-4</v>
      </c>
      <c r="D55">
        <v>0.64943681868186798</v>
      </c>
      <c r="E55">
        <v>1.6794873805958601E-4</v>
      </c>
      <c r="F55" s="1">
        <f t="shared" si="5"/>
        <v>2.8206778615807433E-8</v>
      </c>
      <c r="G55">
        <v>21290666</v>
      </c>
      <c r="H55">
        <v>5792</v>
      </c>
    </row>
    <row r="56" spans="1:8" x14ac:dyDescent="0.4">
      <c r="A56">
        <v>45</v>
      </c>
      <c r="B56">
        <v>0.64960476741992701</v>
      </c>
      <c r="C56">
        <v>1.4557734228514199E-4</v>
      </c>
      <c r="D56">
        <v>0.64973684868486803</v>
      </c>
      <c r="E56">
        <v>1.3208126494068599E-4</v>
      </c>
      <c r="F56" s="1">
        <f t="shared" si="5"/>
        <v>1.7445460548331688E-8</v>
      </c>
      <c r="G56">
        <v>31298427</v>
      </c>
      <c r="H56">
        <v>6864</v>
      </c>
    </row>
    <row r="57" spans="1:8" x14ac:dyDescent="0.4">
      <c r="A57">
        <v>64</v>
      </c>
      <c r="B57">
        <v>0.64960476741992701</v>
      </c>
      <c r="C57">
        <v>1.220703125E-4</v>
      </c>
      <c r="D57">
        <v>0.64931805680568</v>
      </c>
      <c r="E57">
        <v>2.8671061424734301E-4</v>
      </c>
      <c r="F57" s="1">
        <f t="shared" si="5"/>
        <v>8.2202976322088729E-8</v>
      </c>
      <c r="G57">
        <v>47159303</v>
      </c>
      <c r="H57">
        <v>8190</v>
      </c>
    </row>
    <row r="58" spans="1:8" x14ac:dyDescent="0.4">
      <c r="A58">
        <v>8</v>
      </c>
      <c r="B58">
        <v>0.64960476741992701</v>
      </c>
      <c r="C58">
        <v>3.4526698300124301E-4</v>
      </c>
      <c r="D58">
        <v>0.64929305430543005</v>
      </c>
      <c r="E58">
        <v>3.1171311449718E-4</v>
      </c>
      <c r="F58" s="1">
        <f t="shared" si="5"/>
        <v>9.7165065749532051E-8</v>
      </c>
      <c r="G58">
        <v>2648583</v>
      </c>
      <c r="H58">
        <v>2893</v>
      </c>
    </row>
    <row r="59" spans="1:8" x14ac:dyDescent="0.4">
      <c r="A59">
        <v>11</v>
      </c>
      <c r="B59">
        <v>0.64960476741992701</v>
      </c>
      <c r="C59">
        <v>2.9444467243922202E-4</v>
      </c>
      <c r="D59">
        <v>0.64937431243124299</v>
      </c>
      <c r="E59">
        <v>2.30454988684569E-4</v>
      </c>
      <c r="F59" s="1">
        <f t="shared" si="5"/>
        <v>5.3109501809604825E-8</v>
      </c>
      <c r="G59">
        <v>3807551</v>
      </c>
      <c r="H59">
        <v>3396</v>
      </c>
    </row>
    <row r="60" spans="1:8" x14ac:dyDescent="0.4">
      <c r="A60">
        <v>16</v>
      </c>
      <c r="B60">
        <v>0.64960476741992701</v>
      </c>
      <c r="C60">
        <v>2.44140625E-4</v>
      </c>
      <c r="D60">
        <v>0.64937431243124299</v>
      </c>
      <c r="E60">
        <v>2.30454988684569E-4</v>
      </c>
      <c r="F60" s="1">
        <f t="shared" si="5"/>
        <v>5.3109501809604825E-8</v>
      </c>
      <c r="G60">
        <v>5889216</v>
      </c>
      <c r="H60">
        <v>4092</v>
      </c>
    </row>
    <row r="61" spans="1:8" x14ac:dyDescent="0.4">
      <c r="A61">
        <v>22</v>
      </c>
      <c r="B61">
        <v>0.64960476741992701</v>
      </c>
      <c r="C61">
        <v>2.0820382456602501E-4</v>
      </c>
      <c r="D61">
        <v>0.64922429742974297</v>
      </c>
      <c r="E61">
        <v>3.8046999018481699E-4</v>
      </c>
      <c r="F61" s="1">
        <f t="shared" si="5"/>
        <v>1.4475741343123474E-7</v>
      </c>
      <c r="G61">
        <v>14014234</v>
      </c>
      <c r="H61">
        <v>4802</v>
      </c>
    </row>
    <row r="62" spans="1:8" x14ac:dyDescent="0.4">
      <c r="A62">
        <v>32</v>
      </c>
      <c r="B62">
        <v>0.64960476741992701</v>
      </c>
      <c r="C62">
        <v>1.7263349150062099E-4</v>
      </c>
      <c r="D62">
        <v>0.649911866186618</v>
      </c>
      <c r="E62">
        <v>3.0709876669077202E-4</v>
      </c>
      <c r="F62" s="1">
        <f t="shared" si="5"/>
        <v>9.4309652502993228E-8</v>
      </c>
      <c r="G62">
        <v>21336745</v>
      </c>
      <c r="H62">
        <v>5792</v>
      </c>
    </row>
    <row r="63" spans="1:8" x14ac:dyDescent="0.4">
      <c r="A63">
        <v>45</v>
      </c>
      <c r="B63">
        <v>0.64960476741992701</v>
      </c>
      <c r="C63">
        <v>1.4557734228514199E-4</v>
      </c>
      <c r="D63">
        <v>0.64923054805480496</v>
      </c>
      <c r="E63">
        <v>3.7421936512227401E-4</v>
      </c>
      <c r="F63" s="1">
        <f t="shared" si="5"/>
        <v>1.4004013323251783E-7</v>
      </c>
      <c r="G63">
        <v>31447088</v>
      </c>
      <c r="H63">
        <v>6869</v>
      </c>
    </row>
    <row r="64" spans="1:8" x14ac:dyDescent="0.4">
      <c r="A64">
        <v>64</v>
      </c>
      <c r="B64">
        <v>0.64960476741992701</v>
      </c>
      <c r="C64">
        <v>1.220703125E-4</v>
      </c>
      <c r="D64">
        <v>0.65006188118811803</v>
      </c>
      <c r="E64">
        <v>4.5711376819113E-4</v>
      </c>
      <c r="F64" s="1">
        <f t="shared" si="5"/>
        <v>2.0895299706989414E-7</v>
      </c>
      <c r="G64">
        <v>47225879</v>
      </c>
      <c r="H64">
        <v>8190</v>
      </c>
    </row>
    <row r="65" spans="1:8" x14ac:dyDescent="0.4">
      <c r="A65">
        <v>8</v>
      </c>
      <c r="B65">
        <v>0.64960476741992701</v>
      </c>
      <c r="C65">
        <v>3.4526698300124301E-4</v>
      </c>
      <c r="D65">
        <v>0.64989936493649303</v>
      </c>
      <c r="E65">
        <v>2.9459751656579699E-4</v>
      </c>
      <c r="F65" s="1">
        <f t="shared" si="5"/>
        <v>8.6787696766735023E-8</v>
      </c>
      <c r="G65">
        <v>2659581</v>
      </c>
      <c r="H65">
        <v>2896</v>
      </c>
    </row>
    <row r="66" spans="1:8" x14ac:dyDescent="0.4">
      <c r="A66">
        <v>11</v>
      </c>
      <c r="B66">
        <v>0.64960476741992701</v>
      </c>
      <c r="C66">
        <v>2.9444467243922202E-4</v>
      </c>
      <c r="D66">
        <v>0.64953057805780501</v>
      </c>
      <c r="E66" s="1">
        <v>7.4189362122001294E-5</v>
      </c>
      <c r="F66" s="1">
        <f t="shared" si="5"/>
        <v>5.5040614520694402E-9</v>
      </c>
      <c r="G66">
        <v>3804154</v>
      </c>
      <c r="H66">
        <v>3391</v>
      </c>
    </row>
    <row r="67" spans="1:8" x14ac:dyDescent="0.4">
      <c r="A67">
        <v>16</v>
      </c>
      <c r="B67">
        <v>0.64960476741992701</v>
      </c>
      <c r="C67">
        <v>2.44140625E-4</v>
      </c>
      <c r="D67">
        <v>0.64952432743274302</v>
      </c>
      <c r="E67" s="1">
        <v>8.0439987184433001E-5</v>
      </c>
      <c r="F67" s="1">
        <f t="shared" ref="F67:F71" si="7">E67*E67</f>
        <v>6.4705915382317454E-9</v>
      </c>
      <c r="G67">
        <v>5912263</v>
      </c>
      <c r="H67">
        <v>4095</v>
      </c>
    </row>
    <row r="68" spans="1:8" x14ac:dyDescent="0.4">
      <c r="A68">
        <v>22</v>
      </c>
      <c r="B68">
        <v>0.64960476741992701</v>
      </c>
      <c r="C68">
        <v>2.0820382456602501E-4</v>
      </c>
      <c r="D68">
        <v>0.64922429742974297</v>
      </c>
      <c r="E68">
        <v>3.8046999018481699E-4</v>
      </c>
      <c r="F68" s="1">
        <f t="shared" si="7"/>
        <v>1.4475741343123474E-7</v>
      </c>
      <c r="G68">
        <v>13982467</v>
      </c>
      <c r="H68">
        <v>4802</v>
      </c>
    </row>
    <row r="69" spans="1:8" x14ac:dyDescent="0.4">
      <c r="A69">
        <v>32</v>
      </c>
      <c r="B69">
        <v>0.64960476741992701</v>
      </c>
      <c r="C69">
        <v>1.7263349150062099E-4</v>
      </c>
      <c r="D69">
        <v>0.64981810681068097</v>
      </c>
      <c r="E69">
        <v>2.1333939075329699E-4</v>
      </c>
      <c r="F69" s="1">
        <f t="shared" si="7"/>
        <v>4.5513695646987937E-8</v>
      </c>
      <c r="G69">
        <v>21227136</v>
      </c>
      <c r="H69">
        <v>5792</v>
      </c>
    </row>
    <row r="70" spans="1:8" x14ac:dyDescent="0.4">
      <c r="A70">
        <v>45</v>
      </c>
      <c r="B70">
        <v>0.64960476741992701</v>
      </c>
      <c r="C70">
        <v>1.4557734228514199E-4</v>
      </c>
      <c r="D70">
        <v>0.64959308430843099</v>
      </c>
      <c r="E70" s="1">
        <v>1.1683111496796299E-5</v>
      </c>
      <c r="F70" s="1">
        <f t="shared" si="7"/>
        <v>1.3649509424657387E-10</v>
      </c>
      <c r="G70">
        <v>31321290</v>
      </c>
      <c r="H70">
        <v>6868</v>
      </c>
    </row>
    <row r="71" spans="1:8" x14ac:dyDescent="0.4">
      <c r="A71">
        <v>64</v>
      </c>
      <c r="B71">
        <v>0.64960476741992701</v>
      </c>
      <c r="C71">
        <v>1.220703125E-4</v>
      </c>
      <c r="D71">
        <v>0.64883675867586699</v>
      </c>
      <c r="E71">
        <v>7.6800874406013299E-4</v>
      </c>
      <c r="F71" s="1">
        <f t="shared" si="7"/>
        <v>5.898374309528229E-7</v>
      </c>
      <c r="G71">
        <v>47196782</v>
      </c>
      <c r="H71">
        <v>8190</v>
      </c>
    </row>
    <row r="72" spans="1:8" x14ac:dyDescent="0.4">
      <c r="E72" s="1"/>
      <c r="F72" s="1"/>
    </row>
    <row r="73" spans="1:8" x14ac:dyDescent="0.4">
      <c r="F73" s="1"/>
    </row>
    <row r="74" spans="1:8" x14ac:dyDescent="0.4">
      <c r="E74" s="1"/>
      <c r="F74" s="1"/>
    </row>
  </sheetData>
  <phoneticPr fontId="18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RQAE_eps0=2^-10_R=12_deg10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宮本　幸一</cp:lastModifiedBy>
  <dcterms:created xsi:type="dcterms:W3CDTF">2025-02-02T23:36:30Z</dcterms:created>
  <dcterms:modified xsi:type="dcterms:W3CDTF">2025-02-20T04:15:46Z</dcterms:modified>
</cp:coreProperties>
</file>