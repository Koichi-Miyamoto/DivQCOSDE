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13_ncr:1_{96AE59A1-5A65-43CA-821F-14AC6CA9606C}" xr6:coauthVersionLast="47" xr6:coauthVersionMax="47" xr10:uidLastSave="{00000000-0000-0000-0000-000000000000}"/>
  <bookViews>
    <workbookView xWindow="-120" yWindow="-120" windowWidth="20730" windowHeight="11040" xr2:uid="{C8CA6423-46CB-412F-AC8C-E0D1306D81BC}"/>
  </bookViews>
  <sheets>
    <sheet name="DivideRBM_RQAE_eps0=2^-6_R=12_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K10" i="1"/>
  <c r="F42" i="1"/>
  <c r="F43" i="1"/>
  <c r="F44" i="1"/>
  <c r="F45" i="1"/>
  <c r="F46" i="1"/>
  <c r="F47" i="1"/>
  <c r="F48" i="1"/>
  <c r="F49" i="1"/>
  <c r="F50" i="1"/>
  <c r="L10" i="1" s="1"/>
  <c r="P10" i="1" s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K2" i="1"/>
  <c r="K3" i="1"/>
  <c r="K4" i="1"/>
  <c r="K5" i="1"/>
  <c r="K6" i="1"/>
  <c r="K7" i="1"/>
  <c r="K8" i="1"/>
  <c r="K9" i="1"/>
  <c r="F3" i="1"/>
  <c r="F4" i="1"/>
  <c r="F5" i="1"/>
  <c r="L5" i="1" s="1"/>
  <c r="P5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  <c r="L4" i="1" l="1"/>
  <c r="P4" i="1" s="1"/>
  <c r="L7" i="1"/>
  <c r="P7" i="1" s="1"/>
  <c r="L2" i="1"/>
  <c r="P2" i="1" s="1"/>
  <c r="L9" i="1"/>
  <c r="P9" i="1" s="1"/>
  <c r="L6" i="1"/>
  <c r="P6" i="1" s="1"/>
  <c r="L3" i="1"/>
  <c r="P3" i="1" s="1"/>
  <c r="L8" i="1"/>
  <c r="P8" i="1" s="1"/>
</calcChain>
</file>

<file path=xl/sharedStrings.xml><?xml version="1.0" encoding="utf-8"?>
<sst xmlns="http://schemas.openxmlformats.org/spreadsheetml/2006/main" count="15" uniqueCount="13">
  <si>
    <t>N</t>
  </si>
  <si>
    <t>pTrue</t>
  </si>
  <si>
    <t>eps</t>
  </si>
  <si>
    <t>pEst</t>
  </si>
  <si>
    <t>absErr</t>
  </si>
  <si>
    <t>totalQueryNum</t>
  </si>
  <si>
    <t>maxDepth</t>
  </si>
  <si>
    <t>absErrAve</t>
    <phoneticPr fontId="18"/>
  </si>
  <si>
    <t>errSq</t>
    <phoneticPr fontId="18"/>
  </si>
  <si>
    <t>RMSE</t>
    <phoneticPr fontId="18"/>
  </si>
  <si>
    <t>totalQueryNum</t>
    <phoneticPr fontId="18"/>
  </si>
  <si>
    <t>同じRMSEを達成するのに必要な古典モンテサンプル数</t>
    <rPh sb="0" eb="1">
      <t>オナ</t>
    </rPh>
    <rPh sb="7" eb="9">
      <t>タッセイ</t>
    </rPh>
    <rPh sb="13" eb="15">
      <t>ヒツヨウ</t>
    </rPh>
    <rPh sb="16" eb="18">
      <t>コテン</t>
    </rPh>
    <rPh sb="25" eb="26">
      <t>スウ</t>
    </rPh>
    <phoneticPr fontId="18"/>
  </si>
  <si>
    <t>totalQueryNum_LowDepthQAE_eps=2^-5_nShot=12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</si>
</sst>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38" fontId="0" fillId="0" borderId="0" xfId="42" applyFont="1">
      <alignment vertical="center"/>
    </xf>
    <xf numFmtId="1" fontId="0" fillId="0" borderId="0" xfId="0" applyNumberForma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'DivideRBM_RQAE_eps0=2^-6_R=12_m'!$J$2:$J$9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</c:numCache>
            </c:numRef>
          </c:xVal>
          <c:yVal>
            <c:numRef>
              <c:f>'DivideRBM_RQAE_eps0=2^-6_R=12_m'!$M$2:$M$9</c:f>
              <c:numCache>
                <c:formatCode>#,##0_);[Red]\(#,##0\)</c:formatCode>
                <c:ptCount val="8"/>
                <c:pt idx="0">
                  <c:v>163459.79999999999</c:v>
                </c:pt>
                <c:pt idx="1">
                  <c:v>235628.2</c:v>
                </c:pt>
                <c:pt idx="2">
                  <c:v>363785.7</c:v>
                </c:pt>
                <c:pt idx="3">
                  <c:v>867026.5</c:v>
                </c:pt>
                <c:pt idx="4">
                  <c:v>1320208</c:v>
                </c:pt>
                <c:pt idx="5">
                  <c:v>1947266.1</c:v>
                </c:pt>
                <c:pt idx="6">
                  <c:v>2929385.5</c:v>
                </c:pt>
                <c:pt idx="7">
                  <c:v>7139065.0999999996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6-404B-ADB7-624917C978D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'DivideRBM_RQAE_eps0=2^-6_R=12_m'!$J$2:$J$9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</c:numCache>
            </c:numRef>
          </c:xVal>
          <c:yVal>
            <c:numRef>
              <c:f>'DivideRBM_RQAE_eps0=2^-6_R=12_m'!$P$2:$P$9</c:f>
              <c:numCache>
                <c:formatCode>#,##0_);[Red]\(#,##0\)</c:formatCode>
                <c:ptCount val="8"/>
                <c:pt idx="0">
                  <c:v>471077.97662358131</c:v>
                </c:pt>
                <c:pt idx="1">
                  <c:v>709625.45827031066</c:v>
                </c:pt>
                <c:pt idx="2">
                  <c:v>757758.52265322336</c:v>
                </c:pt>
                <c:pt idx="3">
                  <c:v>1181439.3158887953</c:v>
                </c:pt>
                <c:pt idx="4">
                  <c:v>2290292.6771039208</c:v>
                </c:pt>
                <c:pt idx="5">
                  <c:v>7074241.341472473</c:v>
                </c:pt>
                <c:pt idx="6">
                  <c:v>3181856.7669033953</c:v>
                </c:pt>
                <c:pt idx="7">
                  <c:v>12685567.594383098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6-404B-ADB7-624917C978D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'DivideRBM_RQAE_eps0=2^-6_R=12_m'!$J$2:$J$9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</c:numCache>
            </c:numRef>
          </c:xVal>
          <c:yVal>
            <c:numRef>
              <c:f>'DivideRBM_RQAE_eps0=2^-6_R=12_m'!$Q$2:$Q$9</c:f>
              <c:numCache>
                <c:formatCode>#,##0_);[Red]\(#,##0\)</c:formatCode>
                <c:ptCount val="8"/>
                <c:pt idx="0">
                  <c:v>53136</c:v>
                </c:pt>
                <c:pt idx="1">
                  <c:v>109296</c:v>
                </c:pt>
                <c:pt idx="2">
                  <c:v>254592</c:v>
                </c:pt>
                <c:pt idx="3">
                  <c:v>582912</c:v>
                </c:pt>
                <c:pt idx="4">
                  <c:v>1596672</c:v>
                </c:pt>
                <c:pt idx="5">
                  <c:v>3949560</c:v>
                </c:pt>
                <c:pt idx="6">
                  <c:v>9584640</c:v>
                </c:pt>
                <c:pt idx="7">
                  <c:v>24324300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E6-404B-ADB7-624917C97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494063"/>
        <c:axId val="414503663"/>
      </c:scatterChart>
      <c:valAx>
        <c:axId val="414494063"/>
        <c:scaling>
          <c:logBase val="10"/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4503663"/>
        <c:crosses val="autoZero"/>
        <c:crossBetween val="midCat"/>
      </c:valAx>
      <c:valAx>
        <c:axId val="414503663"/>
        <c:scaling>
          <c:logBase val="10"/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449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232410</xdr:colOff>
      <xdr:row>10</xdr:row>
      <xdr:rowOff>171450</xdr:rowOff>
    </xdr:from>
    <xdr:to>
      <xdr:col>15</xdr:col>
      <xdr:colOff>2266950</xdr:colOff>
      <xdr:row>22</xdr:row>
      <xdr:rowOff>80010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836CE6D-8946-02A6-D7EB-4A0CD544B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1F43-C746-4643-9A5B-486FD276CD47}">
  <dimension ref="A1:Q86"/>
  <sheetViews>
    <sheetView tabSelected="1" topLeftCell="K1" workbookViewId="0">
      <selection activeCell="Q13" sqref="Q13"/>
    </sheetView>
  </sheetViews>
  <sheetFormatPr defaultRowHeight="18.75" x14ac:dyDescent="0.4"/>
  <cols>
    <col min="6" max="6" width="12.25" bestFit="1" customWidth="1"/>
    <col min="11" max="11" width="10.125" bestFit="1" customWidth="1"/>
    <col min="13" max="13" width="14.875" bestFit="1" customWidth="1"/>
    <col min="14" max="14" width="10.25" bestFit="1" customWidth="1"/>
    <col min="15" max="15" width="6.5" customWidth="1"/>
    <col min="16" max="16" width="51.75" bestFit="1" customWidth="1"/>
    <col min="17" max="17" width="14.87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J1" t="s">
        <v>0</v>
      </c>
      <c r="K1" t="s">
        <v>7</v>
      </c>
      <c r="L1" t="s">
        <v>9</v>
      </c>
      <c r="M1" t="s">
        <v>10</v>
      </c>
      <c r="N1" t="s">
        <v>6</v>
      </c>
      <c r="P1" t="s">
        <v>11</v>
      </c>
      <c r="Q1" t="s">
        <v>12</v>
      </c>
    </row>
    <row r="2" spans="1:17" x14ac:dyDescent="0.4">
      <c r="A2">
        <v>8</v>
      </c>
      <c r="B2">
        <v>0.64960476741992701</v>
      </c>
      <c r="C2">
        <v>5.5242717280199003E-3</v>
      </c>
      <c r="D2">
        <v>0.649805605560556</v>
      </c>
      <c r="E2">
        <v>2.0083814062832301E-4</v>
      </c>
      <c r="F2">
        <f>E2*E2</f>
        <v>4.0335958731042047E-8</v>
      </c>
      <c r="G2">
        <v>163698</v>
      </c>
      <c r="H2">
        <v>181</v>
      </c>
      <c r="J2">
        <v>8</v>
      </c>
      <c r="K2" s="2">
        <f t="shared" ref="K2:K10" si="0">AVERAGEIF($A$2:$A$1048576,$J2,$E$2:$E$1048576)</f>
        <v>1.777052705270507E-3</v>
      </c>
      <c r="L2" s="2">
        <f>SQRT(AVERAGEIF($A$2:$A$1048576,$J2,$F$2:$F$1048576))</f>
        <v>2.8464295608961678E-3</v>
      </c>
      <c r="M2" s="3">
        <f t="shared" ref="M2:M10" si="1">AVERAGEIF($A$2:$A$1048576,$J2,$G$2:$G$1048576)</f>
        <v>163459.79999999999</v>
      </c>
      <c r="N2" s="4">
        <f t="shared" ref="N2:N10" si="2">AVERAGEIF($A$2:$A$1048576,$J2,$H$2:$H$1048576)</f>
        <v>181</v>
      </c>
      <c r="P2" s="3">
        <f t="shared" ref="P2" si="3">J2/L2/L2*SQRT($B$2*(1-$B$2))</f>
        <v>471077.97662358131</v>
      </c>
      <c r="Q2" s="3">
        <v>53136</v>
      </c>
    </row>
    <row r="3" spans="1:17" x14ac:dyDescent="0.4">
      <c r="A3">
        <v>11</v>
      </c>
      <c r="B3">
        <v>0.64960476741992701</v>
      </c>
      <c r="C3">
        <v>4.7111147590275498E-3</v>
      </c>
      <c r="D3">
        <v>0.65313093809380895</v>
      </c>
      <c r="E3">
        <v>3.5261706738816101E-3</v>
      </c>
      <c r="F3">
        <f t="shared" ref="F3:F66" si="4">E3*E3</f>
        <v>1.2433879621342689E-5</v>
      </c>
      <c r="G3">
        <v>236196</v>
      </c>
      <c r="H3">
        <v>212</v>
      </c>
      <c r="J3">
        <v>11</v>
      </c>
      <c r="K3" s="2">
        <f t="shared" si="0"/>
        <v>2.2468019029159699E-3</v>
      </c>
      <c r="L3" s="2">
        <f t="shared" ref="L3:L8" si="5">SQRT(AVERAGEIF($A$2:$A$1048576,$J3,$F$2:$F$1048576))</f>
        <v>2.7194657703146848E-3</v>
      </c>
      <c r="M3" s="3">
        <f t="shared" si="1"/>
        <v>235628.2</v>
      </c>
      <c r="N3" s="4">
        <f t="shared" si="2"/>
        <v>212</v>
      </c>
      <c r="P3" s="3">
        <f>J3/L3/L3*SQRT($B$2*(1-$B$2))</f>
        <v>709625.45827031066</v>
      </c>
      <c r="Q3" s="3">
        <v>109296</v>
      </c>
    </row>
    <row r="4" spans="1:17" x14ac:dyDescent="0.4">
      <c r="A4">
        <v>16</v>
      </c>
      <c r="B4">
        <v>0.64960476741992701</v>
      </c>
      <c r="C4">
        <v>3.90625E-3</v>
      </c>
      <c r="D4">
        <v>0.64692406740674002</v>
      </c>
      <c r="E4">
        <v>2.6807000131870901E-3</v>
      </c>
      <c r="F4">
        <f t="shared" si="4"/>
        <v>7.1861525607012651E-6</v>
      </c>
      <c r="G4">
        <v>361326</v>
      </c>
      <c r="H4">
        <v>255</v>
      </c>
      <c r="J4">
        <v>16</v>
      </c>
      <c r="K4" s="2">
        <f t="shared" si="0"/>
        <v>2.93042720863232E-3</v>
      </c>
      <c r="L4" s="2">
        <f t="shared" si="5"/>
        <v>3.1739232780715739E-3</v>
      </c>
      <c r="M4" s="3">
        <f t="shared" si="1"/>
        <v>363785.7</v>
      </c>
      <c r="N4" s="4">
        <f t="shared" si="2"/>
        <v>255</v>
      </c>
      <c r="P4" s="3">
        <f>J4/L4/L4*SQRT($B$2*(1-$B$2))</f>
        <v>757758.52265322336</v>
      </c>
      <c r="Q4" s="3">
        <v>254592</v>
      </c>
    </row>
    <row r="5" spans="1:17" x14ac:dyDescent="0.4">
      <c r="A5">
        <v>22</v>
      </c>
      <c r="B5">
        <v>0.64960476741992701</v>
      </c>
      <c r="C5">
        <v>3.3312611930564101E-3</v>
      </c>
      <c r="D5">
        <v>0.65348097309730901</v>
      </c>
      <c r="E5">
        <v>3.8762056773818899E-3</v>
      </c>
      <c r="F5">
        <f t="shared" si="4"/>
        <v>1.5024970453367596E-5</v>
      </c>
      <c r="G5">
        <v>867211</v>
      </c>
      <c r="H5">
        <v>300</v>
      </c>
      <c r="J5">
        <v>22</v>
      </c>
      <c r="K5" s="2">
        <f t="shared" si="0"/>
        <v>2.5918364063663062E-3</v>
      </c>
      <c r="L5" s="2">
        <f t="shared" si="5"/>
        <v>2.9806259544054416E-3</v>
      </c>
      <c r="M5" s="3">
        <f t="shared" si="1"/>
        <v>867026.5</v>
      </c>
      <c r="N5" s="4">
        <f t="shared" si="2"/>
        <v>300</v>
      </c>
      <c r="P5" s="3">
        <f>J5/L5/L5*SQRT($B$2*(1-$B$2))</f>
        <v>1181439.3158887953</v>
      </c>
      <c r="Q5" s="3">
        <v>582912</v>
      </c>
    </row>
    <row r="6" spans="1:17" x14ac:dyDescent="0.4">
      <c r="A6">
        <v>32</v>
      </c>
      <c r="B6">
        <v>0.64960476741992701</v>
      </c>
      <c r="C6">
        <v>2.7621358640099502E-3</v>
      </c>
      <c r="D6">
        <v>0.64711783678367796</v>
      </c>
      <c r="E6">
        <v>2.4869306362492699E-3</v>
      </c>
      <c r="F6">
        <f t="shared" si="4"/>
        <v>6.1848239895151986E-6</v>
      </c>
      <c r="G6">
        <v>1319282</v>
      </c>
      <c r="H6">
        <v>362</v>
      </c>
      <c r="J6">
        <v>32</v>
      </c>
      <c r="K6" s="2">
        <f t="shared" si="0"/>
        <v>2.1713035189890274E-3</v>
      </c>
      <c r="L6" s="2">
        <f t="shared" si="5"/>
        <v>2.5818520085813365E-3</v>
      </c>
      <c r="M6" s="3">
        <f t="shared" si="1"/>
        <v>1320208</v>
      </c>
      <c r="N6" s="4">
        <f t="shared" si="2"/>
        <v>362</v>
      </c>
      <c r="P6" s="3">
        <f t="shared" ref="P6:P10" si="6">J6/L6/L6*SQRT($B$2*(1-$B$2))</f>
        <v>2290292.6771039208</v>
      </c>
      <c r="Q6" s="3">
        <v>1596672</v>
      </c>
    </row>
    <row r="7" spans="1:17" x14ac:dyDescent="0.4">
      <c r="A7">
        <v>45</v>
      </c>
      <c r="B7">
        <v>0.64960476741992701</v>
      </c>
      <c r="C7">
        <v>2.3292374765622802E-3</v>
      </c>
      <c r="D7">
        <v>0.64824294929492898</v>
      </c>
      <c r="E7">
        <v>1.36181812499813E-3</v>
      </c>
      <c r="F7">
        <f t="shared" si="4"/>
        <v>1.8545486055734225E-6</v>
      </c>
      <c r="G7">
        <v>1952438</v>
      </c>
      <c r="H7">
        <v>429</v>
      </c>
      <c r="J7">
        <v>45</v>
      </c>
      <c r="K7" s="2">
        <f t="shared" si="0"/>
        <v>1.4357685768576517E-3</v>
      </c>
      <c r="L7" s="2">
        <f t="shared" si="5"/>
        <v>1.742080297258297E-3</v>
      </c>
      <c r="M7" s="3">
        <f t="shared" si="1"/>
        <v>1947266.1</v>
      </c>
      <c r="N7" s="4">
        <f t="shared" si="2"/>
        <v>429</v>
      </c>
      <c r="P7" s="3">
        <f t="shared" si="6"/>
        <v>7074241.341472473</v>
      </c>
      <c r="Q7" s="3">
        <v>3949560</v>
      </c>
    </row>
    <row r="8" spans="1:17" x14ac:dyDescent="0.4">
      <c r="A8">
        <v>64</v>
      </c>
      <c r="B8">
        <v>0.64960476741992701</v>
      </c>
      <c r="C8">
        <v>1.953125E-3</v>
      </c>
      <c r="D8">
        <v>0.654462321232123</v>
      </c>
      <c r="E8">
        <v>4.8575538121955397E-3</v>
      </c>
      <c r="F8">
        <f t="shared" si="4"/>
        <v>2.3595829038375422E-5</v>
      </c>
      <c r="G8">
        <v>2939639</v>
      </c>
      <c r="H8">
        <v>511</v>
      </c>
      <c r="J8">
        <v>64</v>
      </c>
      <c r="K8" s="2">
        <f t="shared" si="0"/>
        <v>2.7024430215764994E-3</v>
      </c>
      <c r="L8" s="2">
        <f t="shared" si="5"/>
        <v>3.097786780677896E-3</v>
      </c>
      <c r="M8" s="3">
        <f t="shared" si="1"/>
        <v>2929385.5</v>
      </c>
      <c r="N8" s="4">
        <f t="shared" si="2"/>
        <v>511</v>
      </c>
      <c r="P8" s="3">
        <f t="shared" si="6"/>
        <v>3181856.7669033953</v>
      </c>
      <c r="Q8" s="3">
        <v>9584640</v>
      </c>
    </row>
    <row r="9" spans="1:17" x14ac:dyDescent="0.4">
      <c r="A9">
        <v>90</v>
      </c>
      <c r="B9">
        <v>0.64960476741992701</v>
      </c>
      <c r="C9">
        <v>1.64701961467103E-3</v>
      </c>
      <c r="D9">
        <v>0.65004937993799305</v>
      </c>
      <c r="E9">
        <v>4.4461251806604502E-4</v>
      </c>
      <c r="F9">
        <f t="shared" si="4"/>
        <v>1.976802912210292E-7</v>
      </c>
      <c r="G9">
        <v>7136399</v>
      </c>
      <c r="H9">
        <v>607</v>
      </c>
      <c r="J9">
        <v>90</v>
      </c>
      <c r="K9" s="2">
        <f t="shared" si="0"/>
        <v>1.4963996399639937E-3</v>
      </c>
      <c r="L9" s="2">
        <f>SQRT(AVERAGEIF($A$2:$A$1048576,$J9,$F$2:$F$1048576))</f>
        <v>1.8397895632400322E-3</v>
      </c>
      <c r="M9" s="3">
        <f t="shared" si="1"/>
        <v>7139065.0999999996</v>
      </c>
      <c r="N9" s="4">
        <f t="shared" si="2"/>
        <v>607</v>
      </c>
      <c r="P9" s="3">
        <f t="shared" si="6"/>
        <v>12685567.594383098</v>
      </c>
      <c r="Q9" s="3">
        <v>24324300</v>
      </c>
    </row>
    <row r="10" spans="1:17" x14ac:dyDescent="0.4">
      <c r="A10">
        <v>8</v>
      </c>
      <c r="B10">
        <v>0.64960476741992701</v>
      </c>
      <c r="C10">
        <v>5.5242717280199003E-3</v>
      </c>
      <c r="D10">
        <v>0.64911803680367997</v>
      </c>
      <c r="E10">
        <v>4.8673061624759901E-4</v>
      </c>
      <c r="F10">
        <f t="shared" si="4"/>
        <v>2.369066927927675E-7</v>
      </c>
      <c r="G10">
        <v>162836</v>
      </c>
      <c r="H10">
        <v>181</v>
      </c>
      <c r="J10">
        <v>128</v>
      </c>
      <c r="K10" s="2">
        <f t="shared" si="0"/>
        <v>3.8427206607032096E-3</v>
      </c>
      <c r="L10" s="2">
        <f>SQRT(AVERAGEIF($A$2:$A$1048576,$J10,$F$2:$F$1048576))</f>
        <v>4.0445794909454115E-3</v>
      </c>
      <c r="M10" s="3">
        <f t="shared" si="1"/>
        <v>10599570.800000001</v>
      </c>
      <c r="N10" s="4">
        <f t="shared" si="2"/>
        <v>724</v>
      </c>
      <c r="P10" s="3">
        <f t="shared" si="6"/>
        <v>3733076.7170903417</v>
      </c>
      <c r="Q10" s="3">
        <v>58452480</v>
      </c>
    </row>
    <row r="11" spans="1:17" x14ac:dyDescent="0.4">
      <c r="A11">
        <v>11</v>
      </c>
      <c r="B11">
        <v>0.64960476741992701</v>
      </c>
      <c r="C11">
        <v>4.7111147590275498E-3</v>
      </c>
      <c r="D11">
        <v>0.65054942994299403</v>
      </c>
      <c r="E11">
        <v>9.4466252306657495E-4</v>
      </c>
      <c r="F11">
        <f t="shared" si="4"/>
        <v>8.923872824865073E-7</v>
      </c>
      <c r="G11">
        <v>235656</v>
      </c>
      <c r="H11">
        <v>212</v>
      </c>
    </row>
    <row r="12" spans="1:17" x14ac:dyDescent="0.4">
      <c r="A12">
        <v>16</v>
      </c>
      <c r="B12">
        <v>0.64960476741992701</v>
      </c>
      <c r="C12">
        <v>3.90625E-3</v>
      </c>
      <c r="D12">
        <v>0.64735536053605303</v>
      </c>
      <c r="E12">
        <v>2.2494068838742002E-3</v>
      </c>
      <c r="F12">
        <f t="shared" si="4"/>
        <v>5.0598313292206392E-6</v>
      </c>
      <c r="G12">
        <v>366107</v>
      </c>
      <c r="H12">
        <v>255</v>
      </c>
    </row>
    <row r="13" spans="1:17" x14ac:dyDescent="0.4">
      <c r="A13">
        <v>22</v>
      </c>
      <c r="B13">
        <v>0.64960476741992701</v>
      </c>
      <c r="C13">
        <v>3.3312611930564101E-3</v>
      </c>
      <c r="D13">
        <v>0.65466234123412304</v>
      </c>
      <c r="E13">
        <v>5.0575738141956901E-3</v>
      </c>
      <c r="F13">
        <f t="shared" si="4"/>
        <v>2.5579052886037943E-5</v>
      </c>
      <c r="G13">
        <v>865512</v>
      </c>
      <c r="H13">
        <v>300</v>
      </c>
    </row>
    <row r="14" spans="1:17" x14ac:dyDescent="0.4">
      <c r="A14">
        <v>32</v>
      </c>
      <c r="B14">
        <v>0.64960476741992701</v>
      </c>
      <c r="C14">
        <v>2.7621358640099502E-3</v>
      </c>
      <c r="D14">
        <v>0.65046192119211899</v>
      </c>
      <c r="E14">
        <v>8.5715377219142098E-4</v>
      </c>
      <c r="F14">
        <f t="shared" si="4"/>
        <v>7.3471258918198245E-7</v>
      </c>
      <c r="G14">
        <v>1319875</v>
      </c>
      <c r="H14">
        <v>362</v>
      </c>
    </row>
    <row r="15" spans="1:17" x14ac:dyDescent="0.4">
      <c r="A15">
        <v>45</v>
      </c>
      <c r="B15">
        <v>0.64960476741992701</v>
      </c>
      <c r="C15">
        <v>2.3292374765622802E-3</v>
      </c>
      <c r="D15">
        <v>0.64579270427042701</v>
      </c>
      <c r="E15">
        <v>3.8120631495007699E-3</v>
      </c>
      <c r="F15">
        <f t="shared" si="4"/>
        <v>1.4531825455781729E-5</v>
      </c>
      <c r="G15">
        <v>1951200</v>
      </c>
      <c r="H15">
        <v>429</v>
      </c>
    </row>
    <row r="16" spans="1:17" x14ac:dyDescent="0.4">
      <c r="A16">
        <v>64</v>
      </c>
      <c r="B16">
        <v>0.64960476741992701</v>
      </c>
      <c r="C16">
        <v>1.953125E-3</v>
      </c>
      <c r="D16">
        <v>0.65206208120812004</v>
      </c>
      <c r="E16">
        <v>2.4573137881931302E-3</v>
      </c>
      <c r="F16">
        <f t="shared" si="4"/>
        <v>6.0383910536440721E-6</v>
      </c>
      <c r="G16">
        <v>2931319</v>
      </c>
      <c r="H16">
        <v>511</v>
      </c>
    </row>
    <row r="17" spans="1:8" x14ac:dyDescent="0.4">
      <c r="A17">
        <v>90</v>
      </c>
      <c r="B17">
        <v>0.64960476741992701</v>
      </c>
      <c r="C17">
        <v>1.64701961467103E-3</v>
      </c>
      <c r="D17">
        <v>0.64623649864986499</v>
      </c>
      <c r="E17">
        <v>3.3682687700627898E-3</v>
      </c>
      <c r="F17">
        <f t="shared" si="4"/>
        <v>1.1345234507380298E-5</v>
      </c>
      <c r="G17">
        <v>7131992</v>
      </c>
      <c r="H17">
        <v>607</v>
      </c>
    </row>
    <row r="18" spans="1:8" x14ac:dyDescent="0.4">
      <c r="A18">
        <v>8</v>
      </c>
      <c r="B18">
        <v>0.64960476741992701</v>
      </c>
      <c r="C18">
        <v>5.5242717280199003E-3</v>
      </c>
      <c r="D18">
        <v>0.64925555055505502</v>
      </c>
      <c r="E18">
        <v>3.4921686487232497E-4</v>
      </c>
      <c r="F18">
        <f t="shared" si="4"/>
        <v>1.2195241871125567E-7</v>
      </c>
      <c r="G18">
        <v>164165</v>
      </c>
      <c r="H18">
        <v>181</v>
      </c>
    </row>
    <row r="19" spans="1:8" x14ac:dyDescent="0.4">
      <c r="A19">
        <v>11</v>
      </c>
      <c r="B19">
        <v>0.64960476741992701</v>
      </c>
      <c r="C19">
        <v>4.7111147590275498E-3</v>
      </c>
      <c r="D19">
        <v>0.65075570057005705</v>
      </c>
      <c r="E19">
        <v>1.1509331501293699E-3</v>
      </c>
      <c r="F19">
        <f t="shared" si="4"/>
        <v>1.3246471160667147E-6</v>
      </c>
      <c r="G19">
        <v>234563</v>
      </c>
      <c r="H19">
        <v>212</v>
      </c>
    </row>
    <row r="20" spans="1:8" x14ac:dyDescent="0.4">
      <c r="A20">
        <v>16</v>
      </c>
      <c r="B20">
        <v>0.64960476741992701</v>
      </c>
      <c r="C20">
        <v>3.90625E-3</v>
      </c>
      <c r="D20">
        <v>0.64643651865186502</v>
      </c>
      <c r="E20">
        <v>3.16824876806254E-3</v>
      </c>
      <c r="F20">
        <f t="shared" si="4"/>
        <v>1.0037800256329802E-5</v>
      </c>
      <c r="G20">
        <v>363501</v>
      </c>
      <c r="H20">
        <v>255</v>
      </c>
    </row>
    <row r="21" spans="1:8" x14ac:dyDescent="0.4">
      <c r="A21">
        <v>22</v>
      </c>
      <c r="B21">
        <v>0.64960476741992701</v>
      </c>
      <c r="C21">
        <v>3.3312611930564101E-3</v>
      </c>
      <c r="D21">
        <v>0.65265589058905804</v>
      </c>
      <c r="E21">
        <v>3.0511231691311399E-3</v>
      </c>
      <c r="F21">
        <f t="shared" si="4"/>
        <v>9.30935259320885E-6</v>
      </c>
      <c r="G21">
        <v>865643</v>
      </c>
      <c r="H21">
        <v>300</v>
      </c>
    </row>
    <row r="22" spans="1:8" x14ac:dyDescent="0.4">
      <c r="A22">
        <v>32</v>
      </c>
      <c r="B22">
        <v>0.64960476741992701</v>
      </c>
      <c r="C22">
        <v>2.7621358640099502E-3</v>
      </c>
      <c r="D22">
        <v>0.64645527052705198</v>
      </c>
      <c r="E22">
        <v>3.1494968928750199E-3</v>
      </c>
      <c r="F22">
        <f t="shared" si="4"/>
        <v>9.9193306782294051E-6</v>
      </c>
      <c r="G22">
        <v>1319021</v>
      </c>
      <c r="H22">
        <v>362</v>
      </c>
    </row>
    <row r="23" spans="1:8" x14ac:dyDescent="0.4">
      <c r="A23">
        <v>45</v>
      </c>
      <c r="B23">
        <v>0.64960476741992701</v>
      </c>
      <c r="C23">
        <v>2.3292374765622802E-3</v>
      </c>
      <c r="D23">
        <v>0.64916804180417997</v>
      </c>
      <c r="E23">
        <v>4.3672561574725701E-4</v>
      </c>
      <c r="F23">
        <f t="shared" si="4"/>
        <v>1.9072926344982078E-7</v>
      </c>
      <c r="G23">
        <v>1944025</v>
      </c>
      <c r="H23">
        <v>429</v>
      </c>
    </row>
    <row r="24" spans="1:8" x14ac:dyDescent="0.4">
      <c r="A24">
        <v>64</v>
      </c>
      <c r="B24">
        <v>0.64960476741992701</v>
      </c>
      <c r="C24">
        <v>1.953125E-3</v>
      </c>
      <c r="D24">
        <v>0.64539266426642605</v>
      </c>
      <c r="E24">
        <v>4.21210315350106E-3</v>
      </c>
      <c r="F24">
        <f t="shared" si="4"/>
        <v>1.7741812975733576E-5</v>
      </c>
      <c r="G24">
        <v>2922019</v>
      </c>
      <c r="H24">
        <v>511</v>
      </c>
    </row>
    <row r="25" spans="1:8" x14ac:dyDescent="0.4">
      <c r="A25">
        <v>90</v>
      </c>
      <c r="B25">
        <v>0.64960476741992701</v>
      </c>
      <c r="C25">
        <v>1.64701961467103E-3</v>
      </c>
      <c r="D25">
        <v>0.65003687868786897</v>
      </c>
      <c r="E25">
        <v>4.3211126794118199E-4</v>
      </c>
      <c r="F25">
        <f t="shared" si="4"/>
        <v>1.8672014788173596E-7</v>
      </c>
      <c r="G25">
        <v>7138041</v>
      </c>
      <c r="H25">
        <v>607</v>
      </c>
    </row>
    <row r="26" spans="1:8" x14ac:dyDescent="0.4">
      <c r="A26">
        <v>8</v>
      </c>
      <c r="B26">
        <v>0.64960476741992701</v>
      </c>
      <c r="C26">
        <v>5.5242717280199003E-3</v>
      </c>
      <c r="D26">
        <v>0.65009313431343096</v>
      </c>
      <c r="E26">
        <v>4.8836689350351104E-4</v>
      </c>
      <c r="F26">
        <f t="shared" si="4"/>
        <v>2.385022226702697E-7</v>
      </c>
      <c r="G26">
        <v>162693</v>
      </c>
      <c r="H26">
        <v>181</v>
      </c>
    </row>
    <row r="27" spans="1:8" x14ac:dyDescent="0.4">
      <c r="A27">
        <v>11</v>
      </c>
      <c r="B27">
        <v>0.64960476741992701</v>
      </c>
      <c r="C27">
        <v>4.7111147590275498E-3</v>
      </c>
      <c r="D27">
        <v>0.64973059805980504</v>
      </c>
      <c r="E27">
        <v>1.25830639878032E-4</v>
      </c>
      <c r="F27">
        <f t="shared" si="4"/>
        <v>1.5833349932114977E-8</v>
      </c>
      <c r="G27">
        <v>235862</v>
      </c>
      <c r="H27">
        <v>212</v>
      </c>
    </row>
    <row r="28" spans="1:8" x14ac:dyDescent="0.4">
      <c r="A28">
        <v>16</v>
      </c>
      <c r="B28">
        <v>0.64960476741992701</v>
      </c>
      <c r="C28">
        <v>3.90625E-3</v>
      </c>
      <c r="D28">
        <v>0.65266214121412103</v>
      </c>
      <c r="E28">
        <v>3.0573737941937901E-3</v>
      </c>
      <c r="F28">
        <f t="shared" si="4"/>
        <v>9.3475345174229316E-6</v>
      </c>
      <c r="G28">
        <v>363953</v>
      </c>
      <c r="H28">
        <v>255</v>
      </c>
    </row>
    <row r="29" spans="1:8" x14ac:dyDescent="0.4">
      <c r="A29">
        <v>22</v>
      </c>
      <c r="B29">
        <v>0.64960476741992701</v>
      </c>
      <c r="C29">
        <v>3.3312611930564101E-3</v>
      </c>
      <c r="D29">
        <v>0.65111198619861899</v>
      </c>
      <c r="E29">
        <v>1.5072187786920801E-3</v>
      </c>
      <c r="F29">
        <f t="shared" si="4"/>
        <v>2.2717084468420453E-6</v>
      </c>
      <c r="G29">
        <v>866838</v>
      </c>
      <c r="H29">
        <v>300</v>
      </c>
    </row>
    <row r="30" spans="1:8" x14ac:dyDescent="0.4">
      <c r="A30">
        <v>32</v>
      </c>
      <c r="B30">
        <v>0.64960476741992701</v>
      </c>
      <c r="C30">
        <v>2.7621358640099502E-3</v>
      </c>
      <c r="D30">
        <v>0.64709283428342801</v>
      </c>
      <c r="E30">
        <v>2.5119331364994398E-3</v>
      </c>
      <c r="F30">
        <f t="shared" si="4"/>
        <v>6.3098080822439137E-6</v>
      </c>
      <c r="G30">
        <v>1318791</v>
      </c>
      <c r="H30">
        <v>362</v>
      </c>
    </row>
    <row r="31" spans="1:8" x14ac:dyDescent="0.4">
      <c r="A31">
        <v>45</v>
      </c>
      <c r="B31">
        <v>0.64960476741992701</v>
      </c>
      <c r="C31">
        <v>2.3292374765622802E-3</v>
      </c>
      <c r="D31">
        <v>0.64999937493749305</v>
      </c>
      <c r="E31">
        <v>3.9460751756581399E-4</v>
      </c>
      <c r="F31">
        <f t="shared" si="4"/>
        <v>1.5571509291945419E-7</v>
      </c>
      <c r="G31">
        <v>1945746</v>
      </c>
      <c r="H31">
        <v>429</v>
      </c>
    </row>
    <row r="32" spans="1:8" x14ac:dyDescent="0.4">
      <c r="A32">
        <v>64</v>
      </c>
      <c r="B32">
        <v>0.64960476741992701</v>
      </c>
      <c r="C32">
        <v>1.953125E-3</v>
      </c>
      <c r="D32">
        <v>0.64808668366836597</v>
      </c>
      <c r="E32">
        <v>1.51808375156092E-3</v>
      </c>
      <c r="F32">
        <f t="shared" si="4"/>
        <v>2.3045782767532769E-6</v>
      </c>
      <c r="G32">
        <v>2934793</v>
      </c>
      <c r="H32">
        <v>511</v>
      </c>
    </row>
    <row r="33" spans="1:8" x14ac:dyDescent="0.4">
      <c r="A33">
        <v>90</v>
      </c>
      <c r="B33">
        <v>0.64960476741992701</v>
      </c>
      <c r="C33">
        <v>1.64701961467103E-3</v>
      </c>
      <c r="D33">
        <v>0.64810543554355404</v>
      </c>
      <c r="E33">
        <v>1.49933187637352E-3</v>
      </c>
      <c r="F33">
        <f t="shared" si="4"/>
        <v>2.2479960755097404E-6</v>
      </c>
      <c r="G33">
        <v>7140639</v>
      </c>
      <c r="H33">
        <v>607</v>
      </c>
    </row>
    <row r="34" spans="1:8" x14ac:dyDescent="0.4">
      <c r="A34">
        <v>8</v>
      </c>
      <c r="B34">
        <v>0.64960476741992701</v>
      </c>
      <c r="C34">
        <v>5.5242717280199003E-3</v>
      </c>
      <c r="D34">
        <v>0.64974309930993002</v>
      </c>
      <c r="E34">
        <v>1.38331890003118E-4</v>
      </c>
      <c r="F34">
        <f t="shared" si="4"/>
        <v>1.9135711791834736E-8</v>
      </c>
      <c r="G34">
        <v>163462</v>
      </c>
      <c r="H34">
        <v>181</v>
      </c>
    </row>
    <row r="35" spans="1:8" x14ac:dyDescent="0.4">
      <c r="A35">
        <v>11</v>
      </c>
      <c r="B35">
        <v>0.64960476741992701</v>
      </c>
      <c r="C35">
        <v>4.7111147590275498E-3</v>
      </c>
      <c r="D35">
        <v>0.64726785178517798</v>
      </c>
      <c r="E35">
        <v>2.3369156347491302E-3</v>
      </c>
      <c r="F35">
        <f t="shared" si="4"/>
        <v>5.4611746839349296E-6</v>
      </c>
      <c r="G35">
        <v>235792</v>
      </c>
      <c r="H35">
        <v>212</v>
      </c>
    </row>
    <row r="36" spans="1:8" x14ac:dyDescent="0.4">
      <c r="A36">
        <v>16</v>
      </c>
      <c r="B36">
        <v>0.64960476741992701</v>
      </c>
      <c r="C36">
        <v>3.90625E-3</v>
      </c>
      <c r="D36">
        <v>0.64532390739073897</v>
      </c>
      <c r="E36">
        <v>4.2808600291887001E-3</v>
      </c>
      <c r="F36">
        <f t="shared" si="4"/>
        <v>1.8325762589505478E-5</v>
      </c>
      <c r="G36">
        <v>363902</v>
      </c>
      <c r="H36">
        <v>255</v>
      </c>
    </row>
    <row r="37" spans="1:8" x14ac:dyDescent="0.4">
      <c r="A37">
        <v>22</v>
      </c>
      <c r="B37">
        <v>0.64960476741992701</v>
      </c>
      <c r="C37">
        <v>3.3312611930564101E-3</v>
      </c>
      <c r="D37">
        <v>0.64955558055805596</v>
      </c>
      <c r="E37" s="1">
        <v>4.9186861871830503E-5</v>
      </c>
      <c r="F37">
        <f t="shared" si="4"/>
        <v>2.4193473807985331E-9</v>
      </c>
      <c r="G37">
        <v>866791</v>
      </c>
      <c r="H37">
        <v>300</v>
      </c>
    </row>
    <row r="38" spans="1:8" x14ac:dyDescent="0.4">
      <c r="A38">
        <v>32</v>
      </c>
      <c r="B38">
        <v>0.64960476741992701</v>
      </c>
      <c r="C38">
        <v>2.7621358640099502E-3</v>
      </c>
      <c r="D38">
        <v>0.64806168116811602</v>
      </c>
      <c r="E38">
        <v>1.54308625181098E-3</v>
      </c>
      <c r="F38">
        <f t="shared" si="4"/>
        <v>2.3811151805280594E-6</v>
      </c>
      <c r="G38">
        <v>1320996</v>
      </c>
      <c r="H38">
        <v>362</v>
      </c>
    </row>
    <row r="39" spans="1:8" x14ac:dyDescent="0.4">
      <c r="A39">
        <v>45</v>
      </c>
      <c r="B39">
        <v>0.64960476741992701</v>
      </c>
      <c r="C39">
        <v>2.3292374765622802E-3</v>
      </c>
      <c r="D39">
        <v>0.65138076307630699</v>
      </c>
      <c r="E39">
        <v>1.7759956563799799E-3</v>
      </c>
      <c r="F39">
        <f t="shared" si="4"/>
        <v>3.1541605714805557E-6</v>
      </c>
      <c r="G39">
        <v>1950637</v>
      </c>
      <c r="H39">
        <v>429</v>
      </c>
    </row>
    <row r="40" spans="1:8" x14ac:dyDescent="0.4">
      <c r="A40">
        <v>64</v>
      </c>
      <c r="B40">
        <v>0.64960476741992701</v>
      </c>
      <c r="C40">
        <v>1.953125E-3</v>
      </c>
      <c r="D40">
        <v>0.64754287928792797</v>
      </c>
      <c r="E40">
        <v>2.0618881319990302E-3</v>
      </c>
      <c r="F40">
        <f t="shared" si="4"/>
        <v>4.2513826688784501E-6</v>
      </c>
      <c r="G40">
        <v>2934660</v>
      </c>
      <c r="H40">
        <v>511</v>
      </c>
    </row>
    <row r="41" spans="1:8" x14ac:dyDescent="0.4">
      <c r="A41">
        <v>90</v>
      </c>
      <c r="B41">
        <v>0.64960476741992701</v>
      </c>
      <c r="C41">
        <v>1.64701961467103E-3</v>
      </c>
      <c r="D41">
        <v>0.648830508050805</v>
      </c>
      <c r="E41">
        <v>7.7425936912278704E-4</v>
      </c>
      <c r="F41">
        <f t="shared" si="4"/>
        <v>5.994775706744162E-7</v>
      </c>
      <c r="G41">
        <v>7143608</v>
      </c>
      <c r="H41">
        <v>607</v>
      </c>
    </row>
    <row r="42" spans="1:8" x14ac:dyDescent="0.4">
      <c r="A42">
        <v>8</v>
      </c>
      <c r="B42">
        <v>0.64960476741992701</v>
      </c>
      <c r="C42">
        <v>5.5242717280199003E-3</v>
      </c>
      <c r="D42">
        <v>0.64592396739673896</v>
      </c>
      <c r="E42">
        <v>3.6808000231880402E-3</v>
      </c>
      <c r="F42">
        <f t="shared" si="4"/>
        <v>1.3548288810701078E-5</v>
      </c>
      <c r="G42">
        <v>162677</v>
      </c>
      <c r="H42">
        <v>181</v>
      </c>
    </row>
    <row r="43" spans="1:8" x14ac:dyDescent="0.4">
      <c r="A43">
        <v>11</v>
      </c>
      <c r="B43">
        <v>0.64960476741992701</v>
      </c>
      <c r="C43">
        <v>4.7111147590275498E-3</v>
      </c>
      <c r="D43">
        <v>0.65398727372737198</v>
      </c>
      <c r="E43">
        <v>4.3825063074450698E-3</v>
      </c>
      <c r="F43">
        <f t="shared" si="4"/>
        <v>1.920636153479582E-5</v>
      </c>
      <c r="G43">
        <v>236337</v>
      </c>
      <c r="H43">
        <v>212</v>
      </c>
    </row>
    <row r="44" spans="1:8" x14ac:dyDescent="0.4">
      <c r="A44">
        <v>16</v>
      </c>
      <c r="B44">
        <v>0.64960476741992701</v>
      </c>
      <c r="C44">
        <v>3.90625E-3</v>
      </c>
      <c r="D44">
        <v>0.64634900990098998</v>
      </c>
      <c r="E44">
        <v>3.2557575189375802E-3</v>
      </c>
      <c r="F44">
        <f t="shared" si="4"/>
        <v>1.0599957022118587E-5</v>
      </c>
      <c r="G44">
        <v>363764</v>
      </c>
      <c r="H44">
        <v>255</v>
      </c>
    </row>
    <row r="45" spans="1:8" x14ac:dyDescent="0.4">
      <c r="A45">
        <v>22</v>
      </c>
      <c r="B45">
        <v>0.64960476741992701</v>
      </c>
      <c r="C45">
        <v>3.3312611930564101E-3</v>
      </c>
      <c r="D45">
        <v>0.644986373637363</v>
      </c>
      <c r="E45">
        <v>4.6183937825639001E-3</v>
      </c>
      <c r="F45">
        <f t="shared" si="4"/>
        <v>2.1329561130824889E-5</v>
      </c>
      <c r="G45">
        <v>864915</v>
      </c>
      <c r="H45">
        <v>300</v>
      </c>
    </row>
    <row r="46" spans="1:8" x14ac:dyDescent="0.4">
      <c r="A46">
        <v>32</v>
      </c>
      <c r="B46">
        <v>0.64960476741992701</v>
      </c>
      <c r="C46">
        <v>2.7621358640099502E-3</v>
      </c>
      <c r="D46">
        <v>0.64447382238223805</v>
      </c>
      <c r="E46">
        <v>5.1309450376896201E-3</v>
      </c>
      <c r="F46">
        <f t="shared" si="4"/>
        <v>2.6326596979791737E-5</v>
      </c>
      <c r="G46">
        <v>1318996</v>
      </c>
      <c r="H46">
        <v>362</v>
      </c>
    </row>
    <row r="47" spans="1:8" x14ac:dyDescent="0.4">
      <c r="A47">
        <v>45</v>
      </c>
      <c r="B47">
        <v>0.64960476741992701</v>
      </c>
      <c r="C47">
        <v>2.3292374765622802E-3</v>
      </c>
      <c r="D47">
        <v>0.64911803680367997</v>
      </c>
      <c r="E47">
        <v>4.8673061624715497E-4</v>
      </c>
      <c r="F47">
        <f t="shared" si="4"/>
        <v>2.3690669279233525E-7</v>
      </c>
      <c r="G47">
        <v>1946967</v>
      </c>
      <c r="H47">
        <v>429</v>
      </c>
    </row>
    <row r="48" spans="1:8" x14ac:dyDescent="0.4">
      <c r="A48">
        <v>64</v>
      </c>
      <c r="B48">
        <v>0.64960476741992701</v>
      </c>
      <c r="C48">
        <v>1.953125E-3</v>
      </c>
      <c r="D48">
        <v>0.64403627862786195</v>
      </c>
      <c r="E48">
        <v>5.56848879206495E-3</v>
      </c>
      <c r="F48">
        <f t="shared" si="4"/>
        <v>3.1008067427352966E-5</v>
      </c>
      <c r="G48">
        <v>2935148</v>
      </c>
      <c r="H48">
        <v>511</v>
      </c>
    </row>
    <row r="49" spans="1:8" x14ac:dyDescent="0.4">
      <c r="A49">
        <v>90</v>
      </c>
      <c r="B49">
        <v>0.64960476741992701</v>
      </c>
      <c r="C49">
        <v>1.64701961467103E-3</v>
      </c>
      <c r="D49">
        <v>0.65163078807880703</v>
      </c>
      <c r="E49">
        <v>2.0260206588800199E-3</v>
      </c>
      <c r="F49">
        <f t="shared" si="4"/>
        <v>4.10475971020863E-6</v>
      </c>
      <c r="G49">
        <v>7140622</v>
      </c>
      <c r="H49">
        <v>607</v>
      </c>
    </row>
    <row r="50" spans="1:8" x14ac:dyDescent="0.4">
      <c r="A50">
        <v>128</v>
      </c>
      <c r="B50">
        <v>0.64960476741992701</v>
      </c>
      <c r="C50">
        <v>1.3810679320049701E-3</v>
      </c>
      <c r="D50">
        <v>0.65355598059805897</v>
      </c>
      <c r="E50">
        <v>3.95121317813196E-3</v>
      </c>
      <c r="F50">
        <f t="shared" si="4"/>
        <v>1.5612085579043664E-5</v>
      </c>
      <c r="G50">
        <v>10600092</v>
      </c>
      <c r="H50">
        <v>724</v>
      </c>
    </row>
    <row r="51" spans="1:8" x14ac:dyDescent="0.4">
      <c r="A51">
        <v>8</v>
      </c>
      <c r="B51">
        <v>0.64960476741992701</v>
      </c>
      <c r="C51">
        <v>5.5242717280199003E-3</v>
      </c>
      <c r="D51">
        <v>0.65720634563456304</v>
      </c>
      <c r="E51">
        <v>7.6015782146355796E-3</v>
      </c>
      <c r="F51">
        <f t="shared" si="4"/>
        <v>5.7783991353222249E-5</v>
      </c>
      <c r="G51">
        <v>164164</v>
      </c>
      <c r="H51">
        <v>181</v>
      </c>
    </row>
    <row r="52" spans="1:8" x14ac:dyDescent="0.4">
      <c r="A52">
        <v>11</v>
      </c>
      <c r="B52">
        <v>0.64960476741992701</v>
      </c>
      <c r="C52">
        <v>4.7111147590275498E-3</v>
      </c>
      <c r="D52">
        <v>0.65261838683868301</v>
      </c>
      <c r="E52">
        <v>3.0136194187561E-3</v>
      </c>
      <c r="F52">
        <f t="shared" si="4"/>
        <v>9.0819020011038541E-6</v>
      </c>
      <c r="G52">
        <v>234997</v>
      </c>
      <c r="H52">
        <v>212</v>
      </c>
    </row>
    <row r="53" spans="1:8" x14ac:dyDescent="0.4">
      <c r="A53">
        <v>16</v>
      </c>
      <c r="B53">
        <v>0.64960476741992701</v>
      </c>
      <c r="C53">
        <v>3.90625E-3</v>
      </c>
      <c r="D53">
        <v>0.64529890489048902</v>
      </c>
      <c r="E53">
        <v>4.3058625294386497E-3</v>
      </c>
      <c r="F53">
        <f t="shared" si="4"/>
        <v>1.8540452122423808E-5</v>
      </c>
      <c r="G53">
        <v>364434</v>
      </c>
      <c r="H53">
        <v>255</v>
      </c>
    </row>
    <row r="54" spans="1:8" x14ac:dyDescent="0.4">
      <c r="A54">
        <v>22</v>
      </c>
      <c r="B54">
        <v>0.64960476741992701</v>
      </c>
      <c r="C54">
        <v>3.3312611930564101E-3</v>
      </c>
      <c r="D54">
        <v>0.65195582058205803</v>
      </c>
      <c r="E54">
        <v>2.35105316213035E-3</v>
      </c>
      <c r="F54">
        <f t="shared" si="4"/>
        <v>5.5274509711631175E-6</v>
      </c>
      <c r="G54">
        <v>865864</v>
      </c>
      <c r="H54">
        <v>300</v>
      </c>
    </row>
    <row r="55" spans="1:8" x14ac:dyDescent="0.4">
      <c r="A55">
        <v>32</v>
      </c>
      <c r="B55">
        <v>0.64960476741992701</v>
      </c>
      <c r="C55">
        <v>2.7621358640099502E-3</v>
      </c>
      <c r="D55">
        <v>0.65073694869486898</v>
      </c>
      <c r="E55">
        <v>1.1321812749416299E-3</v>
      </c>
      <c r="F55">
        <f t="shared" si="4"/>
        <v>1.2818344393284546E-6</v>
      </c>
      <c r="G55">
        <v>1322753</v>
      </c>
      <c r="H55">
        <v>362</v>
      </c>
    </row>
    <row r="56" spans="1:8" x14ac:dyDescent="0.4">
      <c r="A56">
        <v>45</v>
      </c>
      <c r="B56">
        <v>0.64960476741992701</v>
      </c>
      <c r="C56">
        <v>2.3292374765622802E-3</v>
      </c>
      <c r="D56">
        <v>0.648449219921992</v>
      </c>
      <c r="E56">
        <v>1.15554749793556E-3</v>
      </c>
      <c r="F56">
        <f t="shared" si="4"/>
        <v>1.335290019985133E-6</v>
      </c>
      <c r="G56">
        <v>1944611</v>
      </c>
      <c r="H56">
        <v>429</v>
      </c>
    </row>
    <row r="57" spans="1:8" x14ac:dyDescent="0.4">
      <c r="A57">
        <v>64</v>
      </c>
      <c r="B57">
        <v>0.64960476741992701</v>
      </c>
      <c r="C57">
        <v>1.953125E-3</v>
      </c>
      <c r="D57">
        <v>0.65101822682268196</v>
      </c>
      <c r="E57">
        <v>1.4134594027545E-3</v>
      </c>
      <c r="F57">
        <f t="shared" si="4"/>
        <v>1.9978674832351078E-6</v>
      </c>
      <c r="G57">
        <v>2922461</v>
      </c>
      <c r="H57">
        <v>511</v>
      </c>
    </row>
    <row r="58" spans="1:8" x14ac:dyDescent="0.4">
      <c r="A58">
        <v>90</v>
      </c>
      <c r="B58">
        <v>0.64960476741992701</v>
      </c>
      <c r="C58">
        <v>1.64701961467103E-3</v>
      </c>
      <c r="D58">
        <v>0.64750537553755305</v>
      </c>
      <c r="E58">
        <v>2.0993918823738402E-3</v>
      </c>
      <c r="F58">
        <f t="shared" si="4"/>
        <v>4.4074462757771762E-6</v>
      </c>
      <c r="G58">
        <v>7138713</v>
      </c>
      <c r="H58">
        <v>607</v>
      </c>
    </row>
    <row r="59" spans="1:8" x14ac:dyDescent="0.4">
      <c r="A59">
        <v>128</v>
      </c>
      <c r="B59">
        <v>0.64960476741992701</v>
      </c>
      <c r="C59">
        <v>1.3810679320049701E-3</v>
      </c>
      <c r="D59">
        <v>0.64691156615661505</v>
      </c>
      <c r="E59">
        <v>2.6932012633120702E-3</v>
      </c>
      <c r="F59">
        <f t="shared" si="4"/>
        <v>7.2533330447057306E-6</v>
      </c>
      <c r="G59">
        <v>10587547</v>
      </c>
      <c r="H59">
        <v>724</v>
      </c>
    </row>
    <row r="60" spans="1:8" x14ac:dyDescent="0.4">
      <c r="A60">
        <v>8</v>
      </c>
      <c r="B60">
        <v>0.64960476741992701</v>
      </c>
      <c r="C60">
        <v>5.5242717280199003E-3</v>
      </c>
      <c r="D60">
        <v>0.64741161616161602</v>
      </c>
      <c r="E60">
        <v>2.1931512583116498E-3</v>
      </c>
      <c r="F60">
        <f t="shared" si="4"/>
        <v>4.8099124418339726E-6</v>
      </c>
      <c r="G60">
        <v>163686</v>
      </c>
      <c r="H60">
        <v>181</v>
      </c>
    </row>
    <row r="61" spans="1:8" x14ac:dyDescent="0.4">
      <c r="A61">
        <v>11</v>
      </c>
      <c r="B61">
        <v>0.64960476741992701</v>
      </c>
      <c r="C61">
        <v>4.7111147590275498E-3</v>
      </c>
      <c r="D61">
        <v>0.65438106310630995</v>
      </c>
      <c r="E61">
        <v>4.7762956863828202E-3</v>
      </c>
      <c r="F61">
        <f t="shared" si="4"/>
        <v>2.2813000483759137E-5</v>
      </c>
      <c r="G61">
        <v>235538</v>
      </c>
      <c r="H61">
        <v>212</v>
      </c>
    </row>
    <row r="62" spans="1:8" x14ac:dyDescent="0.4">
      <c r="A62">
        <v>16</v>
      </c>
      <c r="B62">
        <v>0.64960476741992701</v>
      </c>
      <c r="C62">
        <v>3.90625E-3</v>
      </c>
      <c r="D62">
        <v>0.64987436243624297</v>
      </c>
      <c r="E62">
        <v>2.69595016315848E-4</v>
      </c>
      <c r="F62">
        <f t="shared" si="4"/>
        <v>7.2681472822342353E-8</v>
      </c>
      <c r="G62">
        <v>363772</v>
      </c>
      <c r="H62">
        <v>255</v>
      </c>
    </row>
    <row r="63" spans="1:8" x14ac:dyDescent="0.4">
      <c r="A63">
        <v>22</v>
      </c>
      <c r="B63">
        <v>0.64960476741992701</v>
      </c>
      <c r="C63">
        <v>3.3312611930564101E-3</v>
      </c>
      <c r="D63">
        <v>0.647961671167116</v>
      </c>
      <c r="E63">
        <v>1.6430962528109999E-3</v>
      </c>
      <c r="F63">
        <f t="shared" si="4"/>
        <v>2.6997652960015495E-6</v>
      </c>
      <c r="G63">
        <v>867566</v>
      </c>
      <c r="H63">
        <v>300</v>
      </c>
    </row>
    <row r="64" spans="1:8" x14ac:dyDescent="0.4">
      <c r="A64">
        <v>32</v>
      </c>
      <c r="B64">
        <v>0.64960476741992701</v>
      </c>
      <c r="C64">
        <v>2.7621358640099502E-3</v>
      </c>
      <c r="D64">
        <v>0.65001812681268101</v>
      </c>
      <c r="E64">
        <v>4.1335939275344199E-4</v>
      </c>
      <c r="F64">
        <f t="shared" si="4"/>
        <v>1.708659875774943E-7</v>
      </c>
      <c r="G64">
        <v>1324048</v>
      </c>
      <c r="H64">
        <v>362</v>
      </c>
    </row>
    <row r="65" spans="1:8" x14ac:dyDescent="0.4">
      <c r="A65">
        <v>45</v>
      </c>
      <c r="B65">
        <v>0.64960476741992701</v>
      </c>
      <c r="C65">
        <v>2.3292374765622802E-3</v>
      </c>
      <c r="D65">
        <v>0.65056818181818099</v>
      </c>
      <c r="E65">
        <v>9.6341439825398101E-4</v>
      </c>
      <c r="F65">
        <f t="shared" si="4"/>
        <v>9.2816730276308037E-7</v>
      </c>
      <c r="G65">
        <v>1943330</v>
      </c>
      <c r="H65">
        <v>429</v>
      </c>
    </row>
    <row r="66" spans="1:8" x14ac:dyDescent="0.4">
      <c r="A66">
        <v>64</v>
      </c>
      <c r="B66">
        <v>0.64960476741992701</v>
      </c>
      <c r="C66">
        <v>1.953125E-3</v>
      </c>
      <c r="D66">
        <v>0.64804292929292895</v>
      </c>
      <c r="E66">
        <v>1.5618381269984999E-3</v>
      </c>
      <c r="F66">
        <f t="shared" si="4"/>
        <v>2.4393383349461824E-6</v>
      </c>
      <c r="G66">
        <v>2926972</v>
      </c>
      <c r="H66">
        <v>511</v>
      </c>
    </row>
    <row r="67" spans="1:8" x14ac:dyDescent="0.4">
      <c r="A67">
        <v>90</v>
      </c>
      <c r="B67">
        <v>0.64960476741992701</v>
      </c>
      <c r="C67">
        <v>1.64701961467103E-3</v>
      </c>
      <c r="D67">
        <v>0.64972434743474305</v>
      </c>
      <c r="E67">
        <v>1.19580014815712E-4</v>
      </c>
      <c r="F67">
        <f t="shared" ref="F67:F86" si="7">E67*E67</f>
        <v>1.4299379943325902E-8</v>
      </c>
      <c r="G67">
        <v>7140823</v>
      </c>
      <c r="H67">
        <v>607</v>
      </c>
    </row>
    <row r="68" spans="1:8" x14ac:dyDescent="0.4">
      <c r="A68">
        <v>128</v>
      </c>
      <c r="B68">
        <v>0.64960476741992701</v>
      </c>
      <c r="C68">
        <v>1.3810679320049701E-3</v>
      </c>
      <c r="D68">
        <v>0.64596772177217698</v>
      </c>
      <c r="E68">
        <v>3.6370456477504698E-3</v>
      </c>
      <c r="F68">
        <f t="shared" si="7"/>
        <v>1.3228101043820634E-5</v>
      </c>
      <c r="G68">
        <v>10595904</v>
      </c>
      <c r="H68">
        <v>724</v>
      </c>
    </row>
    <row r="69" spans="1:8" x14ac:dyDescent="0.4">
      <c r="A69">
        <v>8</v>
      </c>
      <c r="B69">
        <v>0.64960476741992701</v>
      </c>
      <c r="C69">
        <v>5.5242717280199003E-3</v>
      </c>
      <c r="D69">
        <v>0.65153702870287</v>
      </c>
      <c r="E69">
        <v>1.9322612829425401E-3</v>
      </c>
      <c r="F69">
        <f t="shared" si="7"/>
        <v>3.733633665558751E-6</v>
      </c>
      <c r="G69">
        <v>163677</v>
      </c>
      <c r="H69">
        <v>181</v>
      </c>
    </row>
    <row r="70" spans="1:8" x14ac:dyDescent="0.4">
      <c r="A70">
        <v>11</v>
      </c>
      <c r="B70">
        <v>0.64960476741992701</v>
      </c>
      <c r="C70">
        <v>4.7111147590275498E-3</v>
      </c>
      <c r="D70">
        <v>0.64887426242624202</v>
      </c>
      <c r="E70">
        <v>7.3050499368498801E-4</v>
      </c>
      <c r="F70">
        <f t="shared" si="7"/>
        <v>5.3363754579870442E-7</v>
      </c>
      <c r="G70">
        <v>234765</v>
      </c>
      <c r="H70">
        <v>212</v>
      </c>
    </row>
    <row r="71" spans="1:8" x14ac:dyDescent="0.4">
      <c r="A71">
        <v>16</v>
      </c>
      <c r="B71">
        <v>0.64960476741992701</v>
      </c>
      <c r="C71">
        <v>3.90625E-3</v>
      </c>
      <c r="D71">
        <v>0.64529265426542604</v>
      </c>
      <c r="E71">
        <v>4.3121131545013E-3</v>
      </c>
      <c r="F71">
        <f t="shared" si="7"/>
        <v>1.8594319857223151E-5</v>
      </c>
      <c r="G71">
        <v>362339</v>
      </c>
      <c r="H71">
        <v>255</v>
      </c>
    </row>
    <row r="72" spans="1:8" x14ac:dyDescent="0.4">
      <c r="A72">
        <v>22</v>
      </c>
      <c r="B72">
        <v>0.64960476741992701</v>
      </c>
      <c r="C72">
        <v>3.3312611930564101E-3</v>
      </c>
      <c r="D72">
        <v>0.65156203120311995</v>
      </c>
      <c r="E72">
        <v>1.9572637831926001E-3</v>
      </c>
      <c r="F72">
        <f t="shared" si="7"/>
        <v>3.8308815169974096E-6</v>
      </c>
      <c r="G72">
        <v>869639</v>
      </c>
      <c r="H72">
        <v>300</v>
      </c>
    </row>
    <row r="73" spans="1:8" x14ac:dyDescent="0.4">
      <c r="A73">
        <v>32</v>
      </c>
      <c r="B73">
        <v>0.64960476741992701</v>
      </c>
      <c r="C73">
        <v>2.7621358640099502E-3</v>
      </c>
      <c r="D73">
        <v>0.64608023302330198</v>
      </c>
      <c r="E73">
        <v>3.5245343966253599E-3</v>
      </c>
      <c r="F73">
        <f t="shared" si="7"/>
        <v>1.242234271299529E-5</v>
      </c>
      <c r="G73">
        <v>1319918</v>
      </c>
      <c r="H73">
        <v>362</v>
      </c>
    </row>
    <row r="74" spans="1:8" x14ac:dyDescent="0.4">
      <c r="A74">
        <v>45</v>
      </c>
      <c r="B74">
        <v>0.64960476741992701</v>
      </c>
      <c r="C74">
        <v>2.3292374765622802E-3</v>
      </c>
      <c r="D74">
        <v>0.65178705370537005</v>
      </c>
      <c r="E74">
        <v>2.18228628544292E-3</v>
      </c>
      <c r="F74">
        <f t="shared" si="7"/>
        <v>4.7623734316322578E-6</v>
      </c>
      <c r="G74">
        <v>1951579</v>
      </c>
      <c r="H74">
        <v>429</v>
      </c>
    </row>
    <row r="75" spans="1:8" x14ac:dyDescent="0.4">
      <c r="A75">
        <v>64</v>
      </c>
      <c r="B75">
        <v>0.64960476741992701</v>
      </c>
      <c r="C75">
        <v>1.953125E-3</v>
      </c>
      <c r="D75">
        <v>0.64858673367336706</v>
      </c>
      <c r="E75">
        <v>1.0180337465605001E-3</v>
      </c>
      <c r="F75">
        <f t="shared" si="7"/>
        <v>1.0363927091360084E-6</v>
      </c>
      <c r="G75">
        <v>2920420</v>
      </c>
      <c r="H75">
        <v>511</v>
      </c>
    </row>
    <row r="76" spans="1:8" x14ac:dyDescent="0.4">
      <c r="A76">
        <v>90</v>
      </c>
      <c r="B76">
        <v>0.64960476741992701</v>
      </c>
      <c r="C76">
        <v>1.64701961467103E-3</v>
      </c>
      <c r="D76">
        <v>0.64652402740273995</v>
      </c>
      <c r="E76">
        <v>3.0807400171873802E-3</v>
      </c>
      <c r="F76">
        <f t="shared" si="7"/>
        <v>9.4909590534996993E-6</v>
      </c>
      <c r="G76">
        <v>7141764</v>
      </c>
      <c r="H76">
        <v>607</v>
      </c>
    </row>
    <row r="77" spans="1:8" x14ac:dyDescent="0.4">
      <c r="A77">
        <v>128</v>
      </c>
      <c r="B77">
        <v>0.64960476741992701</v>
      </c>
      <c r="C77">
        <v>1.3810679320049701E-3</v>
      </c>
      <c r="D77">
        <v>0.65577495249524898</v>
      </c>
      <c r="E77">
        <v>6.1701850753218502E-3</v>
      </c>
      <c r="F77">
        <f t="shared" si="7"/>
        <v>3.8071183863724506E-5</v>
      </c>
      <c r="G77">
        <v>10617446</v>
      </c>
      <c r="H77">
        <v>724</v>
      </c>
    </row>
    <row r="78" spans="1:8" x14ac:dyDescent="0.4">
      <c r="A78">
        <v>8</v>
      </c>
      <c r="B78">
        <v>0.64960476741992701</v>
      </c>
      <c r="C78">
        <v>5.5242717280199003E-3</v>
      </c>
      <c r="D78">
        <v>0.64890551555155496</v>
      </c>
      <c r="E78">
        <v>6.9925186837238498E-4</v>
      </c>
      <c r="F78">
        <f t="shared" si="7"/>
        <v>4.889531754222712E-7</v>
      </c>
      <c r="G78">
        <v>163540</v>
      </c>
      <c r="H78">
        <v>181</v>
      </c>
    </row>
    <row r="79" spans="1:8" x14ac:dyDescent="0.4">
      <c r="A79">
        <v>11</v>
      </c>
      <c r="B79">
        <v>0.64960476741992701</v>
      </c>
      <c r="C79">
        <v>4.7111147590275498E-3</v>
      </c>
      <c r="D79">
        <v>0.648124187418741</v>
      </c>
      <c r="E79">
        <v>1.4805800011860001E-3</v>
      </c>
      <c r="F79">
        <f t="shared" si="7"/>
        <v>2.1921171399119362E-6</v>
      </c>
      <c r="G79">
        <v>236576</v>
      </c>
      <c r="H79">
        <v>212</v>
      </c>
    </row>
    <row r="80" spans="1:8" x14ac:dyDescent="0.4">
      <c r="A80">
        <v>16</v>
      </c>
      <c r="B80">
        <v>0.64960476741992701</v>
      </c>
      <c r="C80">
        <v>3.90625E-3</v>
      </c>
      <c r="D80">
        <v>0.64788041304130395</v>
      </c>
      <c r="E80">
        <v>1.7243543786234999E-3</v>
      </c>
      <c r="F80">
        <f t="shared" si="7"/>
        <v>2.9733980230780366E-6</v>
      </c>
      <c r="G80">
        <v>364759</v>
      </c>
      <c r="H80">
        <v>255</v>
      </c>
    </row>
    <row r="81" spans="1:8" x14ac:dyDescent="0.4">
      <c r="A81">
        <v>22</v>
      </c>
      <c r="B81">
        <v>0.64960476741992701</v>
      </c>
      <c r="C81">
        <v>3.3312611930564101E-3</v>
      </c>
      <c r="D81">
        <v>0.65141201620162004</v>
      </c>
      <c r="E81">
        <v>1.80724878169258E-3</v>
      </c>
      <c r="F81">
        <f t="shared" si="7"/>
        <v>3.2661481589293149E-6</v>
      </c>
      <c r="G81">
        <v>870286</v>
      </c>
      <c r="H81">
        <v>300</v>
      </c>
    </row>
    <row r="82" spans="1:8" x14ac:dyDescent="0.4">
      <c r="A82">
        <v>32</v>
      </c>
      <c r="B82">
        <v>0.64960476741992701</v>
      </c>
      <c r="C82">
        <v>2.7621358640099502E-3</v>
      </c>
      <c r="D82">
        <v>0.65056818181818099</v>
      </c>
      <c r="E82">
        <v>9.6341439825409203E-4</v>
      </c>
      <c r="F82">
        <f t="shared" si="7"/>
        <v>9.2816730276329425E-7</v>
      </c>
      <c r="G82">
        <v>1318400</v>
      </c>
      <c r="H82">
        <v>362</v>
      </c>
    </row>
    <row r="83" spans="1:8" x14ac:dyDescent="0.4">
      <c r="A83">
        <v>45</v>
      </c>
      <c r="B83">
        <v>0.64960476741992701</v>
      </c>
      <c r="C83">
        <v>2.3292374765622802E-3</v>
      </c>
      <c r="D83">
        <v>0.65139326432643196</v>
      </c>
      <c r="E83">
        <v>1.78849690650495E-3</v>
      </c>
      <c r="F83">
        <f t="shared" si="7"/>
        <v>3.1987211845777757E-6</v>
      </c>
      <c r="G83">
        <v>1942128</v>
      </c>
      <c r="H83">
        <v>429</v>
      </c>
    </row>
    <row r="84" spans="1:8" x14ac:dyDescent="0.4">
      <c r="A84">
        <v>64</v>
      </c>
      <c r="B84">
        <v>0.64960476741992701</v>
      </c>
      <c r="C84">
        <v>1.953125E-3</v>
      </c>
      <c r="D84">
        <v>0.64724909990999002</v>
      </c>
      <c r="E84">
        <v>2.3556675099368702E-3</v>
      </c>
      <c r="F84">
        <f t="shared" si="7"/>
        <v>5.5491694173721741E-6</v>
      </c>
      <c r="G84">
        <v>2926424</v>
      </c>
      <c r="H84">
        <v>511</v>
      </c>
    </row>
    <row r="85" spans="1:8" x14ac:dyDescent="0.4">
      <c r="A85">
        <v>90</v>
      </c>
      <c r="B85">
        <v>0.64960476741992701</v>
      </c>
      <c r="C85">
        <v>1.64701961467103E-3</v>
      </c>
      <c r="D85">
        <v>0.650724447444744</v>
      </c>
      <c r="E85">
        <v>1.1196800248166601E-3</v>
      </c>
      <c r="F85">
        <f t="shared" si="7"/>
        <v>1.2536833579734366E-6</v>
      </c>
      <c r="G85">
        <v>7138050</v>
      </c>
      <c r="H85">
        <v>607</v>
      </c>
    </row>
    <row r="86" spans="1:8" x14ac:dyDescent="0.4">
      <c r="A86">
        <v>128</v>
      </c>
      <c r="B86">
        <v>0.64960476741992701</v>
      </c>
      <c r="C86">
        <v>1.3810679320049701E-3</v>
      </c>
      <c r="D86">
        <v>0.64684280928092797</v>
      </c>
      <c r="E86">
        <v>2.7619581389996999E-3</v>
      </c>
      <c r="F86">
        <f t="shared" si="7"/>
        <v>7.6284127615866852E-6</v>
      </c>
      <c r="G86">
        <v>10596865</v>
      </c>
      <c r="H86">
        <v>724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DivideRBM_RQAE_eps0=2^-6_R=12_m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2025-01-29T23:51:04Z</dcterms:created>
  <dcterms:modified xsi:type="dcterms:W3CDTF">2025-02-02T23:29:34Z</dcterms:modified>
</cp:coreProperties>
</file>