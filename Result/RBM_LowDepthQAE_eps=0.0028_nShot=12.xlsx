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ich\Desktop\Code\DivQCOSDE\Result\"/>
    </mc:Choice>
  </mc:AlternateContent>
  <xr:revisionPtr revIDLastSave="0" documentId="13_ncr:1_{BB7410FD-AB30-4CEC-B360-C8101EE3BC40}" xr6:coauthVersionLast="47" xr6:coauthVersionMax="47" xr10:uidLastSave="{00000000-0000-0000-0000-000000000000}"/>
  <bookViews>
    <workbookView xWindow="2100" yWindow="1680" windowWidth="18390" windowHeight="9015" xr2:uid="{8730DC5B-5742-49A9-9164-FF6EA95AD078}"/>
  </bookViews>
  <sheets>
    <sheet name="RBM_LowDepthQA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L2" i="1"/>
  <c r="L3" i="1"/>
  <c r="L4" i="1"/>
  <c r="L5" i="1"/>
  <c r="L6" i="1"/>
  <c r="L7" i="1"/>
  <c r="L8" i="1"/>
  <c r="L9" i="1"/>
  <c r="L10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2" i="1"/>
  <c r="K8" i="1" l="1"/>
  <c r="K4" i="1"/>
  <c r="K5" i="1"/>
  <c r="K9" i="1"/>
  <c r="K3" i="1"/>
  <c r="K7" i="1"/>
  <c r="K2" i="1"/>
  <c r="K6" i="1"/>
  <c r="K10" i="1"/>
</calcChain>
</file>

<file path=xl/sharedStrings.xml><?xml version="1.0" encoding="utf-8"?>
<sst xmlns="http://schemas.openxmlformats.org/spreadsheetml/2006/main" count="12" uniqueCount="10">
  <si>
    <t>N</t>
  </si>
  <si>
    <t>pTrue</t>
  </si>
  <si>
    <t>beta</t>
  </si>
  <si>
    <t>pEst</t>
  </si>
  <si>
    <t>absErr</t>
  </si>
  <si>
    <t>totalQueryNum</t>
  </si>
  <si>
    <t>maxDepth</t>
  </si>
  <si>
    <t>errSq</t>
    <phoneticPr fontId="18"/>
  </si>
  <si>
    <t>RMSE</t>
    <phoneticPr fontId="18"/>
  </si>
  <si>
    <t>totalQueryNum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</si>
</sst>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"/>
    <numFmt numFmtId="177" formatCode="#,##0.0000;[Red]\-#,##0.0000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1" fontId="0" fillId="0" borderId="0" xfId="0" applyNumberFormat="1">
      <alignment vertical="center"/>
    </xf>
    <xf numFmtId="38" fontId="0" fillId="0" borderId="0" xfId="42" applyFont="1">
      <alignment vertical="center"/>
    </xf>
    <xf numFmtId="176" fontId="0" fillId="0" borderId="0" xfId="0" applyNumberFormat="1">
      <alignment vertical="center"/>
    </xf>
    <xf numFmtId="1" fontId="0" fillId="0" borderId="0" xfId="0" applyNumberFormat="1">
      <alignment vertical="center"/>
    </xf>
    <xf numFmtId="177" fontId="0" fillId="0" borderId="0" xfId="42" applyNumberFormat="1" applyFont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桁区切り" xfId="42" builtinId="6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RBM_LowDepthQAE!$L$1</c:f>
              <c:strCache>
                <c:ptCount val="1"/>
                <c:pt idx="0">
                  <c:v>totalQueryNum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RBM_LowDepthQAE!$J$2:$J$10</c:f>
              <c:numCache>
                <c:formatCode>General</c:formatCode>
                <c:ptCount val="9"/>
                <c:pt idx="0">
                  <c:v>8</c:v>
                </c:pt>
                <c:pt idx="1">
                  <c:v>11</c:v>
                </c:pt>
                <c:pt idx="2">
                  <c:v>16</c:v>
                </c:pt>
                <c:pt idx="3">
                  <c:v>22</c:v>
                </c:pt>
                <c:pt idx="4">
                  <c:v>32</c:v>
                </c:pt>
                <c:pt idx="5">
                  <c:v>45</c:v>
                </c:pt>
                <c:pt idx="6">
                  <c:v>64</c:v>
                </c:pt>
                <c:pt idx="7">
                  <c:v>90</c:v>
                </c:pt>
                <c:pt idx="8">
                  <c:v>128</c:v>
                </c:pt>
              </c:numCache>
            </c:numRef>
          </c:xVal>
          <c:yVal>
            <c:numRef>
              <c:f>RBM_LowDepthQAE!$L$2:$L$10</c:f>
              <c:numCache>
                <c:formatCode>#,##0_);[Red]\(#,##0\)</c:formatCode>
                <c:ptCount val="9"/>
                <c:pt idx="0">
                  <c:v>320544</c:v>
                </c:pt>
                <c:pt idx="1">
                  <c:v>721512</c:v>
                </c:pt>
                <c:pt idx="2">
                  <c:v>1932288</c:v>
                </c:pt>
                <c:pt idx="3">
                  <c:v>4468992</c:v>
                </c:pt>
                <c:pt idx="4">
                  <c:v>12051072</c:v>
                </c:pt>
                <c:pt idx="5">
                  <c:v>29845260</c:v>
                </c:pt>
                <c:pt idx="6">
                  <c:v>75728640</c:v>
                </c:pt>
                <c:pt idx="7">
                  <c:v>185945760</c:v>
                </c:pt>
                <c:pt idx="8">
                  <c:v>470790144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A9-46A8-970D-7F16BBAA3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988752"/>
        <c:axId val="565987792"/>
      </c:scatterChart>
      <c:valAx>
        <c:axId val="56598875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5987792"/>
        <c:crosses val="autoZero"/>
        <c:crossBetween val="midCat"/>
      </c:valAx>
      <c:valAx>
        <c:axId val="565987792"/>
        <c:scaling>
          <c:logBase val="10"/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598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RBM_LowDepthQAE!$M$1</c:f>
              <c:strCache>
                <c:ptCount val="1"/>
                <c:pt idx="0">
                  <c:v>maxDepth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RBM_LowDepthQAE!$J$2:$J$10</c:f>
              <c:numCache>
                <c:formatCode>General</c:formatCode>
                <c:ptCount val="9"/>
                <c:pt idx="0">
                  <c:v>8</c:v>
                </c:pt>
                <c:pt idx="1">
                  <c:v>11</c:v>
                </c:pt>
                <c:pt idx="2">
                  <c:v>16</c:v>
                </c:pt>
                <c:pt idx="3">
                  <c:v>22</c:v>
                </c:pt>
                <c:pt idx="4">
                  <c:v>32</c:v>
                </c:pt>
                <c:pt idx="5">
                  <c:v>45</c:v>
                </c:pt>
                <c:pt idx="6">
                  <c:v>64</c:v>
                </c:pt>
                <c:pt idx="7">
                  <c:v>90</c:v>
                </c:pt>
                <c:pt idx="8">
                  <c:v>128</c:v>
                </c:pt>
              </c:numCache>
            </c:numRef>
          </c:xVal>
          <c:yVal>
            <c:numRef>
              <c:f>RBM_LowDepthQAE!$M$2:$M$10</c:f>
              <c:numCache>
                <c:formatCode>0</c:formatCode>
                <c:ptCount val="9"/>
                <c:pt idx="0">
                  <c:v>2024</c:v>
                </c:pt>
                <c:pt idx="1">
                  <c:v>2365</c:v>
                </c:pt>
                <c:pt idx="2">
                  <c:v>2864</c:v>
                </c:pt>
                <c:pt idx="3">
                  <c:v>3366</c:v>
                </c:pt>
                <c:pt idx="4">
                  <c:v>4064</c:v>
                </c:pt>
                <c:pt idx="5">
                  <c:v>4815</c:v>
                </c:pt>
                <c:pt idx="6">
                  <c:v>5696</c:v>
                </c:pt>
                <c:pt idx="7">
                  <c:v>6750</c:v>
                </c:pt>
                <c:pt idx="8">
                  <c:v>8064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14-42C8-A443-342D8607A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988752"/>
        <c:axId val="565987792"/>
      </c:scatterChart>
      <c:valAx>
        <c:axId val="56598875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5987792"/>
        <c:crosses val="autoZero"/>
        <c:crossBetween val="midCat"/>
      </c:valAx>
      <c:valAx>
        <c:axId val="565987792"/>
        <c:scaling>
          <c:logBase val="10"/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598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266700</xdr:colOff>
      <xdr:row>10</xdr:row>
      <xdr:rowOff>66681</xdr:rowOff>
    </xdr:from>
    <xdr:to>
      <xdr:col>14</xdr:col>
      <xdr:colOff>447675</xdr:colOff>
      <xdr:row>20</xdr:row>
      <xdr:rowOff>85725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7BF579A-8020-068E-5096-7DF82354ED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657225</xdr:colOff>
      <xdr:row>10</xdr:row>
      <xdr:rowOff>76200</xdr:rowOff>
    </xdr:from>
    <xdr:to>
      <xdr:col>20</xdr:col>
      <xdr:colOff>676275</xdr:colOff>
      <xdr:row>20</xdr:row>
      <xdr:rowOff>95244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6164906-8AB4-4F64-8D84-8815D4E2E6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854F1-4FBD-4AEA-85B6-FB1EDDD605AA}">
  <dimension ref="A1:P899"/>
  <sheetViews>
    <sheetView tabSelected="1" topLeftCell="F1" workbookViewId="0">
      <selection activeCell="M5" sqref="M5"/>
    </sheetView>
  </sheetViews>
  <sheetFormatPr defaultRowHeight="18.75" x14ac:dyDescent="0.4"/>
  <cols>
    <col min="7" max="7" width="10.5" bestFit="1" customWidth="1"/>
    <col min="11" max="11" width="13.375" bestFit="1" customWidth="1"/>
    <col min="12" max="12" width="12.375" customWidth="1"/>
    <col min="13" max="13" width="14.875" bestFit="1" customWidth="1"/>
    <col min="14" max="14" width="10.25" bestFit="1" customWidth="1"/>
    <col min="15" max="15" width="9.5" bestFit="1" customWidth="1"/>
    <col min="16" max="16" width="15.5" bestFit="1" customWidth="1"/>
    <col min="17" max="17" width="10.5" bestFit="1" customWidth="1"/>
    <col min="18" max="18" width="9.5" bestFit="1" customWidth="1"/>
  </cols>
  <sheetData>
    <row r="1" spans="1: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  <c r="H1" t="s">
        <v>6</v>
      </c>
      <c r="J1" t="s">
        <v>0</v>
      </c>
      <c r="K1" t="s">
        <v>8</v>
      </c>
      <c r="L1" t="s">
        <v>9</v>
      </c>
      <c r="M1" t="s">
        <v>6</v>
      </c>
    </row>
    <row r="2" spans="1:16" x14ac:dyDescent="0.4">
      <c r="A2">
        <v>8</v>
      </c>
      <c r="B2">
        <v>0.64960476741992701</v>
      </c>
      <c r="C2">
        <v>0.17687933645707901</v>
      </c>
      <c r="D2">
        <v>0.64906490649064896</v>
      </c>
      <c r="E2">
        <v>5.39860929278712E-4</v>
      </c>
      <c r="F2">
        <f>E2*E2</f>
        <v>2.9144982296167448E-7</v>
      </c>
      <c r="G2">
        <v>320544</v>
      </c>
      <c r="H2">
        <v>2024</v>
      </c>
      <c r="J2">
        <v>8</v>
      </c>
      <c r="K2" s="3">
        <f>SQRT(AVERAGEIF($A$2:$A$1048576,$J2,$F$2:$F$1048576))</f>
        <v>4.2903116211781225E-4</v>
      </c>
      <c r="L2" s="2">
        <f t="shared" ref="L2:L10" si="0">AVERAGEIF($A$2:$A$1048576,$J2,$G$2:$G$1048576)</f>
        <v>320544</v>
      </c>
      <c r="M2" s="4">
        <f t="shared" ref="M2:M10" si="1">AVERAGEIF($A$2:$A$1048576,$J2,$H$2:$H$1048576)</f>
        <v>2024</v>
      </c>
      <c r="O2" s="2"/>
      <c r="P2" s="2"/>
    </row>
    <row r="3" spans="1:16" x14ac:dyDescent="0.4">
      <c r="A3">
        <v>11</v>
      </c>
      <c r="B3">
        <v>0.64960476741992701</v>
      </c>
      <c r="C3">
        <v>0.20396732307440099</v>
      </c>
      <c r="D3">
        <v>0.64966496649664895</v>
      </c>
      <c r="E3" s="1">
        <v>6.0199076721945099E-5</v>
      </c>
      <c r="F3">
        <f t="shared" ref="F3:F66" si="2">E3*E3</f>
        <v>3.6239288381746321E-9</v>
      </c>
      <c r="G3">
        <v>721512</v>
      </c>
      <c r="H3">
        <v>2365</v>
      </c>
      <c r="J3">
        <v>11</v>
      </c>
      <c r="K3" s="3">
        <f t="shared" ref="K3:K8" si="3">SQRT(AVERAGEIF($A$2:$A$1048576,$J3,$F$2:$F$1048576))</f>
        <v>2.6458706612647327E-4</v>
      </c>
      <c r="L3" s="2">
        <f t="shared" si="0"/>
        <v>721512</v>
      </c>
      <c r="M3" s="4">
        <f t="shared" si="1"/>
        <v>2365</v>
      </c>
      <c r="O3" s="2"/>
      <c r="P3" s="2"/>
    </row>
    <row r="4" spans="1:16" x14ac:dyDescent="0.4">
      <c r="A4">
        <v>16</v>
      </c>
      <c r="B4">
        <v>0.64960476741992701</v>
      </c>
      <c r="C4">
        <v>0.23583911527610499</v>
      </c>
      <c r="D4">
        <v>0.64916491649164898</v>
      </c>
      <c r="E4">
        <v>4.3985092827858398E-4</v>
      </c>
      <c r="F4">
        <f t="shared" si="2"/>
        <v>1.9346883910753202E-7</v>
      </c>
      <c r="G4">
        <v>1932288</v>
      </c>
      <c r="H4">
        <v>2864</v>
      </c>
      <c r="J4">
        <v>16</v>
      </c>
      <c r="K4" s="3">
        <f t="shared" si="3"/>
        <v>2.7673200465260352E-4</v>
      </c>
      <c r="L4" s="2">
        <f t="shared" si="0"/>
        <v>1932288</v>
      </c>
      <c r="M4" s="4">
        <f t="shared" si="1"/>
        <v>2864</v>
      </c>
      <c r="O4" s="5"/>
      <c r="P4" s="2"/>
    </row>
    <row r="5" spans="1:16" x14ac:dyDescent="0.4">
      <c r="A5">
        <v>22</v>
      </c>
      <c r="B5">
        <v>0.64960476741992701</v>
      </c>
      <c r="C5">
        <v>0.262927101893427</v>
      </c>
      <c r="D5">
        <v>0.64986498649864899</v>
      </c>
      <c r="E5">
        <v>2.6021907872209E-4</v>
      </c>
      <c r="F5">
        <f t="shared" si="2"/>
        <v>6.7713968930973274E-8</v>
      </c>
      <c r="G5">
        <v>4468992</v>
      </c>
      <c r="H5">
        <v>3366</v>
      </c>
      <c r="J5">
        <v>22</v>
      </c>
      <c r="K5" s="3">
        <f t="shared" si="3"/>
        <v>3.1753413063802222E-4</v>
      </c>
      <c r="L5" s="2">
        <f t="shared" si="0"/>
        <v>4468992</v>
      </c>
      <c r="M5" s="4">
        <f t="shared" si="1"/>
        <v>3366</v>
      </c>
      <c r="O5" s="2"/>
      <c r="P5" s="2"/>
    </row>
    <row r="6" spans="1:16" x14ac:dyDescent="0.4">
      <c r="A6">
        <v>32</v>
      </c>
      <c r="B6">
        <v>0.64960476741992701</v>
      </c>
      <c r="C6">
        <v>0.29479889409513099</v>
      </c>
      <c r="D6">
        <v>0.65006500650065002</v>
      </c>
      <c r="E6">
        <v>4.60239080722346E-4</v>
      </c>
      <c r="F6">
        <f t="shared" si="2"/>
        <v>2.1182001142415012E-7</v>
      </c>
      <c r="G6">
        <v>12051072</v>
      </c>
      <c r="H6">
        <v>4064</v>
      </c>
      <c r="J6">
        <v>32</v>
      </c>
      <c r="K6" s="3">
        <f t="shared" si="3"/>
        <v>3.6001460183219717E-4</v>
      </c>
      <c r="L6" s="2">
        <f t="shared" si="0"/>
        <v>12051072</v>
      </c>
      <c r="M6" s="4">
        <f t="shared" si="1"/>
        <v>4064</v>
      </c>
      <c r="O6" s="5"/>
      <c r="P6" s="2"/>
    </row>
    <row r="7" spans="1:16" x14ac:dyDescent="0.4">
      <c r="A7">
        <v>45</v>
      </c>
      <c r="B7">
        <v>0.64960476741992701</v>
      </c>
      <c r="C7">
        <v>0.32379844386618201</v>
      </c>
      <c r="D7">
        <v>0.64956495649564905</v>
      </c>
      <c r="E7" s="1">
        <v>3.9810924278183002E-5</v>
      </c>
      <c r="F7">
        <f t="shared" si="2"/>
        <v>1.5849096918832207E-9</v>
      </c>
      <c r="G7">
        <v>29845260</v>
      </c>
      <c r="H7">
        <v>4815</v>
      </c>
      <c r="J7">
        <v>45</v>
      </c>
      <c r="K7" s="3">
        <f t="shared" si="3"/>
        <v>3.4696613927673645E-4</v>
      </c>
      <c r="L7" s="2">
        <f t="shared" si="0"/>
        <v>29845260</v>
      </c>
      <c r="M7" s="4">
        <f t="shared" si="1"/>
        <v>4815</v>
      </c>
      <c r="O7" s="2"/>
      <c r="P7" s="2"/>
    </row>
    <row r="8" spans="1:16" x14ac:dyDescent="0.4">
      <c r="A8">
        <v>64</v>
      </c>
      <c r="B8">
        <v>0.64960476741992701</v>
      </c>
      <c r="C8">
        <v>0.35375867291415802</v>
      </c>
      <c r="D8">
        <v>0.64956495649564905</v>
      </c>
      <c r="E8" s="1">
        <v>3.9810924278183002E-5</v>
      </c>
      <c r="F8">
        <f t="shared" si="2"/>
        <v>1.5849096918832207E-9</v>
      </c>
      <c r="G8">
        <v>75728640</v>
      </c>
      <c r="H8">
        <v>5696</v>
      </c>
      <c r="J8">
        <v>64</v>
      </c>
      <c r="K8" s="3">
        <f t="shared" si="3"/>
        <v>3.9443262444455326E-4</v>
      </c>
      <c r="L8" s="2">
        <f t="shared" si="0"/>
        <v>75728640</v>
      </c>
      <c r="M8" s="4">
        <f t="shared" si="1"/>
        <v>5696</v>
      </c>
      <c r="O8" s="5"/>
      <c r="P8" s="5"/>
    </row>
    <row r="9" spans="1:16" x14ac:dyDescent="0.4">
      <c r="A9">
        <v>90</v>
      </c>
      <c r="B9">
        <v>0.64960476741992701</v>
      </c>
      <c r="C9">
        <v>0.38275822268520898</v>
      </c>
      <c r="D9">
        <v>0.64906490649064896</v>
      </c>
      <c r="E9">
        <v>5.39860929278712E-4</v>
      </c>
      <c r="F9">
        <f t="shared" si="2"/>
        <v>2.9144982296167448E-7</v>
      </c>
      <c r="G9">
        <v>185945760</v>
      </c>
      <c r="H9">
        <v>6750</v>
      </c>
      <c r="J9">
        <v>90</v>
      </c>
      <c r="K9" s="3">
        <f>SQRT(AVERAGEIF($A$2:$A$1048576,$J9,$F$2:$F$1048576))</f>
        <v>4.3131139451896164E-4</v>
      </c>
      <c r="L9" s="2">
        <f t="shared" si="0"/>
        <v>185945760</v>
      </c>
      <c r="M9" s="4">
        <f t="shared" si="1"/>
        <v>6750</v>
      </c>
      <c r="O9" s="2"/>
      <c r="P9" s="2"/>
    </row>
    <row r="10" spans="1:16" x14ac:dyDescent="0.4">
      <c r="A10">
        <v>128</v>
      </c>
      <c r="B10">
        <v>0.64960476741992701</v>
      </c>
      <c r="C10">
        <v>0.412718451733184</v>
      </c>
      <c r="D10">
        <v>0.649264926492649</v>
      </c>
      <c r="E10">
        <v>3.39840927278456E-4</v>
      </c>
      <c r="F10">
        <f t="shared" si="2"/>
        <v>1.1549185585348082E-7</v>
      </c>
      <c r="G10">
        <v>470790144</v>
      </c>
      <c r="H10">
        <v>8064</v>
      </c>
      <c r="J10">
        <v>128</v>
      </c>
      <c r="K10" s="3">
        <f>SQRT(AVERAGEIF($A$2:$A$1048576,$J10,$F$2:$F$1048576))</f>
        <v>2.4041633323618655E-4</v>
      </c>
      <c r="L10" s="2">
        <f t="shared" si="0"/>
        <v>470790144</v>
      </c>
      <c r="M10" s="4">
        <f t="shared" si="1"/>
        <v>8064</v>
      </c>
      <c r="O10" s="5"/>
      <c r="P10" s="2"/>
    </row>
    <row r="11" spans="1:16" x14ac:dyDescent="0.4">
      <c r="A11">
        <v>8</v>
      </c>
      <c r="B11">
        <v>0.64960476741992701</v>
      </c>
      <c r="C11">
        <v>0.17687933645707901</v>
      </c>
      <c r="D11">
        <v>0.64946494649464903</v>
      </c>
      <c r="E11">
        <v>1.39820925278311E-4</v>
      </c>
      <c r="F11">
        <f t="shared" si="2"/>
        <v>1.9549891145683028E-8</v>
      </c>
      <c r="G11">
        <v>320544</v>
      </c>
      <c r="H11">
        <v>2024</v>
      </c>
    </row>
    <row r="12" spans="1:16" x14ac:dyDescent="0.4">
      <c r="A12">
        <v>11</v>
      </c>
      <c r="B12">
        <v>0.64960476741992701</v>
      </c>
      <c r="C12">
        <v>0.20396732307440099</v>
      </c>
      <c r="D12">
        <v>0.64916491649164898</v>
      </c>
      <c r="E12">
        <v>4.3985092827858398E-4</v>
      </c>
      <c r="F12">
        <f t="shared" si="2"/>
        <v>1.9346883910753202E-7</v>
      </c>
      <c r="G12">
        <v>721512</v>
      </c>
      <c r="H12">
        <v>2365</v>
      </c>
    </row>
    <row r="13" spans="1:16" x14ac:dyDescent="0.4">
      <c r="A13">
        <v>16</v>
      </c>
      <c r="B13">
        <v>0.64960476741992701</v>
      </c>
      <c r="C13">
        <v>0.23583911527610499</v>
      </c>
      <c r="D13">
        <v>0.64906490649064896</v>
      </c>
      <c r="E13">
        <v>5.39860929278712E-4</v>
      </c>
      <c r="F13">
        <f t="shared" si="2"/>
        <v>2.9144982296167448E-7</v>
      </c>
      <c r="G13">
        <v>1932288</v>
      </c>
      <c r="H13">
        <v>2864</v>
      </c>
    </row>
    <row r="14" spans="1:16" x14ac:dyDescent="0.4">
      <c r="A14">
        <v>22</v>
      </c>
      <c r="B14">
        <v>0.64960476741992701</v>
      </c>
      <c r="C14">
        <v>0.262927101893427</v>
      </c>
      <c r="D14">
        <v>0.64916491649164898</v>
      </c>
      <c r="E14">
        <v>4.3985092827858398E-4</v>
      </c>
      <c r="F14">
        <f t="shared" si="2"/>
        <v>1.9346883910753202E-7</v>
      </c>
      <c r="G14">
        <v>4468992</v>
      </c>
      <c r="H14">
        <v>3366</v>
      </c>
    </row>
    <row r="15" spans="1:16" x14ac:dyDescent="0.4">
      <c r="A15">
        <v>32</v>
      </c>
      <c r="B15">
        <v>0.64960476741992701</v>
      </c>
      <c r="C15">
        <v>0.29479889409513099</v>
      </c>
      <c r="D15">
        <v>0.64946494649464903</v>
      </c>
      <c r="E15">
        <v>1.39820925278311E-4</v>
      </c>
      <c r="F15">
        <f t="shared" si="2"/>
        <v>1.9549891145683028E-8</v>
      </c>
      <c r="G15">
        <v>12051072</v>
      </c>
      <c r="H15">
        <v>4064</v>
      </c>
    </row>
    <row r="16" spans="1:16" x14ac:dyDescent="0.4">
      <c r="A16">
        <v>45</v>
      </c>
      <c r="B16">
        <v>0.64960476741992701</v>
      </c>
      <c r="C16">
        <v>0.32379844386618201</v>
      </c>
      <c r="D16">
        <v>0.64956495649564905</v>
      </c>
      <c r="E16" s="1">
        <v>3.9810924278183002E-5</v>
      </c>
      <c r="F16">
        <f t="shared" si="2"/>
        <v>1.5849096918832207E-9</v>
      </c>
      <c r="G16">
        <v>29845260</v>
      </c>
      <c r="H16">
        <v>4815</v>
      </c>
    </row>
    <row r="17" spans="1:8" x14ac:dyDescent="0.4">
      <c r="A17">
        <v>64</v>
      </c>
      <c r="B17">
        <v>0.64960476741992701</v>
      </c>
      <c r="C17">
        <v>0.35375867291415802</v>
      </c>
      <c r="D17">
        <v>0.649264926492649</v>
      </c>
      <c r="E17">
        <v>3.39840927278456E-4</v>
      </c>
      <c r="F17">
        <f t="shared" si="2"/>
        <v>1.1549185585348082E-7</v>
      </c>
      <c r="G17">
        <v>75728640</v>
      </c>
      <c r="H17">
        <v>5696</v>
      </c>
    </row>
    <row r="18" spans="1:8" x14ac:dyDescent="0.4">
      <c r="A18">
        <v>90</v>
      </c>
      <c r="B18">
        <v>0.64960476741992701</v>
      </c>
      <c r="C18">
        <v>0.38275822268520898</v>
      </c>
      <c r="D18">
        <v>0.64916491649164898</v>
      </c>
      <c r="E18">
        <v>4.3985092827858398E-4</v>
      </c>
      <c r="F18">
        <f t="shared" si="2"/>
        <v>1.9346883910753202E-7</v>
      </c>
      <c r="G18">
        <v>185945760</v>
      </c>
      <c r="H18">
        <v>6750</v>
      </c>
    </row>
    <row r="19" spans="1:8" x14ac:dyDescent="0.4">
      <c r="A19">
        <v>128</v>
      </c>
      <c r="B19">
        <v>0.64960476741992701</v>
      </c>
      <c r="C19">
        <v>0.412718451733184</v>
      </c>
      <c r="D19">
        <v>0.64946494649464903</v>
      </c>
      <c r="E19">
        <v>1.39820925278311E-4</v>
      </c>
      <c r="F19">
        <f t="shared" si="2"/>
        <v>1.9549891145683028E-8</v>
      </c>
      <c r="G19">
        <v>470790144</v>
      </c>
      <c r="H19">
        <v>8064</v>
      </c>
    </row>
    <row r="20" spans="1:8" x14ac:dyDescent="0.4">
      <c r="A20">
        <v>8</v>
      </c>
      <c r="B20">
        <v>0.64960476741992701</v>
      </c>
      <c r="C20">
        <v>0.17687933645707901</v>
      </c>
      <c r="D20">
        <v>0.64976497649764897</v>
      </c>
      <c r="E20">
        <v>1.60209077721962E-4</v>
      </c>
      <c r="F20">
        <f t="shared" si="2"/>
        <v>2.5666948584521662E-8</v>
      </c>
      <c r="G20">
        <v>320544</v>
      </c>
      <c r="H20">
        <v>2024</v>
      </c>
    </row>
    <row r="21" spans="1:8" x14ac:dyDescent="0.4">
      <c r="A21">
        <v>11</v>
      </c>
      <c r="B21">
        <v>0.64960476741992701</v>
      </c>
      <c r="C21">
        <v>0.20396732307440099</v>
      </c>
      <c r="D21">
        <v>0.64936493649364901</v>
      </c>
      <c r="E21">
        <v>2.39830926278439E-4</v>
      </c>
      <c r="F21">
        <f t="shared" si="2"/>
        <v>5.7518873199574041E-8</v>
      </c>
      <c r="G21">
        <v>721512</v>
      </c>
      <c r="H21">
        <v>2365</v>
      </c>
    </row>
    <row r="22" spans="1:8" x14ac:dyDescent="0.4">
      <c r="A22">
        <v>16</v>
      </c>
      <c r="B22">
        <v>0.64960476741992701</v>
      </c>
      <c r="C22">
        <v>0.23583911527610499</v>
      </c>
      <c r="D22">
        <v>0.64946494649464903</v>
      </c>
      <c r="E22">
        <v>1.39820925278311E-4</v>
      </c>
      <c r="F22">
        <f t="shared" si="2"/>
        <v>1.9549891145683028E-8</v>
      </c>
      <c r="G22">
        <v>1932288</v>
      </c>
      <c r="H22">
        <v>2864</v>
      </c>
    </row>
    <row r="23" spans="1:8" x14ac:dyDescent="0.4">
      <c r="A23">
        <v>22</v>
      </c>
      <c r="B23">
        <v>0.64960476741992701</v>
      </c>
      <c r="C23">
        <v>0.262927101893427</v>
      </c>
      <c r="D23">
        <v>0.64916491649164898</v>
      </c>
      <c r="E23">
        <v>4.3985092827858398E-4</v>
      </c>
      <c r="F23">
        <f t="shared" si="2"/>
        <v>1.9346883910753202E-7</v>
      </c>
      <c r="G23">
        <v>4468992</v>
      </c>
      <c r="H23">
        <v>3366</v>
      </c>
    </row>
    <row r="24" spans="1:8" x14ac:dyDescent="0.4">
      <c r="A24">
        <v>32</v>
      </c>
      <c r="B24">
        <v>0.64960476741992701</v>
      </c>
      <c r="C24">
        <v>0.29479889409513099</v>
      </c>
      <c r="D24">
        <v>0.65016501650165004</v>
      </c>
      <c r="E24">
        <v>5.60249081722363E-4</v>
      </c>
      <c r="F24">
        <f t="shared" si="2"/>
        <v>3.1387903357075096E-7</v>
      </c>
      <c r="G24">
        <v>12051072</v>
      </c>
      <c r="H24">
        <v>4064</v>
      </c>
    </row>
    <row r="25" spans="1:8" x14ac:dyDescent="0.4">
      <c r="A25">
        <v>45</v>
      </c>
      <c r="B25">
        <v>0.64960476741992701</v>
      </c>
      <c r="C25">
        <v>0.32379844386618201</v>
      </c>
      <c r="D25">
        <v>0.65006500650065002</v>
      </c>
      <c r="E25">
        <v>4.60239080722346E-4</v>
      </c>
      <c r="F25">
        <f t="shared" si="2"/>
        <v>2.1182001142415012E-7</v>
      </c>
      <c r="G25">
        <v>29845260</v>
      </c>
      <c r="H25">
        <v>4815</v>
      </c>
    </row>
    <row r="26" spans="1:8" x14ac:dyDescent="0.4">
      <c r="A26">
        <v>64</v>
      </c>
      <c r="B26">
        <v>0.64960476741992701</v>
      </c>
      <c r="C26">
        <v>0.35375867291415802</v>
      </c>
      <c r="D26">
        <v>0.649264926492649</v>
      </c>
      <c r="E26">
        <v>3.39840927278456E-4</v>
      </c>
      <c r="F26">
        <f t="shared" si="2"/>
        <v>1.1549185585348082E-7</v>
      </c>
      <c r="G26">
        <v>75728640</v>
      </c>
      <c r="H26">
        <v>5696</v>
      </c>
    </row>
    <row r="27" spans="1:8" x14ac:dyDescent="0.4">
      <c r="A27">
        <v>90</v>
      </c>
      <c r="B27">
        <v>0.64960476741992701</v>
      </c>
      <c r="C27">
        <v>0.38275822268520898</v>
      </c>
      <c r="D27">
        <v>0.65006500650065002</v>
      </c>
      <c r="E27">
        <v>4.60239080722346E-4</v>
      </c>
      <c r="F27">
        <f t="shared" si="2"/>
        <v>2.1182001142415012E-7</v>
      </c>
      <c r="G27">
        <v>185945760</v>
      </c>
      <c r="H27">
        <v>6750</v>
      </c>
    </row>
    <row r="28" spans="1:8" x14ac:dyDescent="0.4">
      <c r="A28">
        <v>128</v>
      </c>
      <c r="B28">
        <v>0.64960476741992701</v>
      </c>
      <c r="C28">
        <v>0.412718451733184</v>
      </c>
      <c r="D28">
        <v>0.64986498649864899</v>
      </c>
      <c r="E28">
        <v>2.6021907872209E-4</v>
      </c>
      <c r="F28">
        <f t="shared" si="2"/>
        <v>6.7713968930973274E-8</v>
      </c>
      <c r="G28">
        <v>470790144</v>
      </c>
      <c r="H28">
        <v>8064</v>
      </c>
    </row>
    <row r="29" spans="1:8" x14ac:dyDescent="0.4">
      <c r="A29">
        <v>8</v>
      </c>
      <c r="B29">
        <v>0.64960476741992701</v>
      </c>
      <c r="C29">
        <v>0.17687933645707901</v>
      </c>
      <c r="D29">
        <v>0.65006500650065002</v>
      </c>
      <c r="E29">
        <v>4.60239080722346E-4</v>
      </c>
      <c r="F29">
        <f t="shared" si="2"/>
        <v>2.1182001142415012E-7</v>
      </c>
      <c r="G29">
        <v>320544</v>
      </c>
      <c r="H29">
        <v>2024</v>
      </c>
    </row>
    <row r="30" spans="1:8" x14ac:dyDescent="0.4">
      <c r="A30">
        <v>11</v>
      </c>
      <c r="B30">
        <v>0.64960476741992701</v>
      </c>
      <c r="C30">
        <v>0.20396732307440099</v>
      </c>
      <c r="D30">
        <v>0.64986498649864899</v>
      </c>
      <c r="E30">
        <v>2.6021907872209E-4</v>
      </c>
      <c r="F30">
        <f t="shared" si="2"/>
        <v>6.7713968930973274E-8</v>
      </c>
      <c r="G30">
        <v>721512</v>
      </c>
      <c r="H30">
        <v>2365</v>
      </c>
    </row>
    <row r="31" spans="1:8" x14ac:dyDescent="0.4">
      <c r="A31">
        <v>16</v>
      </c>
      <c r="B31">
        <v>0.64960476741992701</v>
      </c>
      <c r="C31">
        <v>0.23583911527610499</v>
      </c>
      <c r="D31">
        <v>0.64996499649965001</v>
      </c>
      <c r="E31">
        <v>3.6022907972221803E-4</v>
      </c>
      <c r="F31">
        <f t="shared" si="2"/>
        <v>1.2976498987751611E-7</v>
      </c>
      <c r="G31">
        <v>1932288</v>
      </c>
      <c r="H31">
        <v>2864</v>
      </c>
    </row>
    <row r="32" spans="1:8" x14ac:dyDescent="0.4">
      <c r="A32">
        <v>22</v>
      </c>
      <c r="B32">
        <v>0.64960476741992701</v>
      </c>
      <c r="C32">
        <v>0.262927101893427</v>
      </c>
      <c r="D32">
        <v>0.64986498649864899</v>
      </c>
      <c r="E32">
        <v>2.6021907872209E-4</v>
      </c>
      <c r="F32">
        <f t="shared" si="2"/>
        <v>6.7713968930973274E-8</v>
      </c>
      <c r="G32">
        <v>4468992</v>
      </c>
      <c r="H32">
        <v>3366</v>
      </c>
    </row>
    <row r="33" spans="1:8" x14ac:dyDescent="0.4">
      <c r="A33">
        <v>32</v>
      </c>
      <c r="B33">
        <v>0.64960476741992701</v>
      </c>
      <c r="C33">
        <v>0.29479889409513099</v>
      </c>
      <c r="D33">
        <v>0.64956495649564905</v>
      </c>
      <c r="E33" s="1">
        <v>3.9810924278183002E-5</v>
      </c>
      <c r="F33">
        <f t="shared" si="2"/>
        <v>1.5849096918832207E-9</v>
      </c>
      <c r="G33">
        <v>12051072</v>
      </c>
      <c r="H33">
        <v>4064</v>
      </c>
    </row>
    <row r="34" spans="1:8" x14ac:dyDescent="0.4">
      <c r="A34">
        <v>45</v>
      </c>
      <c r="B34">
        <v>0.64960476741992701</v>
      </c>
      <c r="C34">
        <v>0.32379844386618201</v>
      </c>
      <c r="D34">
        <v>0.64956495649564905</v>
      </c>
      <c r="E34" s="1">
        <v>3.9810924278183002E-5</v>
      </c>
      <c r="F34">
        <f t="shared" si="2"/>
        <v>1.5849096918832207E-9</v>
      </c>
      <c r="G34">
        <v>29845260</v>
      </c>
      <c r="H34">
        <v>4815</v>
      </c>
    </row>
    <row r="35" spans="1:8" x14ac:dyDescent="0.4">
      <c r="A35">
        <v>64</v>
      </c>
      <c r="B35">
        <v>0.64960476741992701</v>
      </c>
      <c r="C35">
        <v>0.35375867291415802</v>
      </c>
      <c r="D35">
        <v>0.64916491649164898</v>
      </c>
      <c r="E35">
        <v>4.3985092827858398E-4</v>
      </c>
      <c r="F35">
        <f t="shared" si="2"/>
        <v>1.9346883910753202E-7</v>
      </c>
      <c r="G35">
        <v>75728640</v>
      </c>
      <c r="H35">
        <v>5696</v>
      </c>
    </row>
    <row r="36" spans="1:8" x14ac:dyDescent="0.4">
      <c r="A36">
        <v>90</v>
      </c>
      <c r="B36">
        <v>0.64960476741992701</v>
      </c>
      <c r="C36">
        <v>0.38275822268520898</v>
      </c>
      <c r="D36">
        <v>0.64976497649764897</v>
      </c>
      <c r="E36">
        <v>1.60209077721962E-4</v>
      </c>
      <c r="F36">
        <f t="shared" si="2"/>
        <v>2.5666948584521662E-8</v>
      </c>
      <c r="G36">
        <v>185945760</v>
      </c>
      <c r="H36">
        <v>6750</v>
      </c>
    </row>
    <row r="37" spans="1:8" x14ac:dyDescent="0.4">
      <c r="A37">
        <v>128</v>
      </c>
      <c r="B37">
        <v>0.64960476741992701</v>
      </c>
      <c r="C37">
        <v>0.412718451733184</v>
      </c>
      <c r="D37">
        <v>0.64956495649564905</v>
      </c>
      <c r="E37" s="1">
        <v>3.9810924278183002E-5</v>
      </c>
      <c r="F37">
        <f t="shared" si="2"/>
        <v>1.5849096918832207E-9</v>
      </c>
      <c r="G37">
        <v>470790144</v>
      </c>
      <c r="H37">
        <v>8064</v>
      </c>
    </row>
    <row r="38" spans="1:8" x14ac:dyDescent="0.4">
      <c r="A38">
        <v>8</v>
      </c>
      <c r="B38">
        <v>0.64960476741992701</v>
      </c>
      <c r="C38">
        <v>0.17687933645707901</v>
      </c>
      <c r="D38">
        <v>0.64996499649965001</v>
      </c>
      <c r="E38">
        <v>3.6022907972221803E-4</v>
      </c>
      <c r="F38">
        <f t="shared" si="2"/>
        <v>1.2976498987751611E-7</v>
      </c>
      <c r="G38">
        <v>320544</v>
      </c>
      <c r="H38">
        <v>2024</v>
      </c>
    </row>
    <row r="39" spans="1:8" x14ac:dyDescent="0.4">
      <c r="A39">
        <v>11</v>
      </c>
      <c r="B39">
        <v>0.64960476741992701</v>
      </c>
      <c r="C39">
        <v>0.20396732307440099</v>
      </c>
      <c r="D39">
        <v>0.64966496649664895</v>
      </c>
      <c r="E39" s="1">
        <v>6.0199076721945099E-5</v>
      </c>
      <c r="F39">
        <f t="shared" si="2"/>
        <v>3.6239288381746321E-9</v>
      </c>
      <c r="G39">
        <v>721512</v>
      </c>
      <c r="H39">
        <v>2365</v>
      </c>
    </row>
    <row r="40" spans="1:8" x14ac:dyDescent="0.4">
      <c r="A40">
        <v>16</v>
      </c>
      <c r="B40">
        <v>0.64960476741992701</v>
      </c>
      <c r="C40">
        <v>0.23583911527610499</v>
      </c>
      <c r="D40">
        <v>0.64956495649564905</v>
      </c>
      <c r="E40" s="1">
        <v>3.9810924278183002E-5</v>
      </c>
      <c r="F40">
        <f t="shared" si="2"/>
        <v>1.5849096918832207E-9</v>
      </c>
      <c r="G40">
        <v>1932288</v>
      </c>
      <c r="H40">
        <v>2864</v>
      </c>
    </row>
    <row r="41" spans="1:8" x14ac:dyDescent="0.4">
      <c r="A41">
        <v>22</v>
      </c>
      <c r="B41">
        <v>0.64960476741992701</v>
      </c>
      <c r="C41">
        <v>0.262927101893427</v>
      </c>
      <c r="D41">
        <v>0.64986498649864899</v>
      </c>
      <c r="E41">
        <v>2.6021907872209E-4</v>
      </c>
      <c r="F41">
        <f t="shared" si="2"/>
        <v>6.7713968930973274E-8</v>
      </c>
      <c r="G41">
        <v>4468992</v>
      </c>
      <c r="H41">
        <v>3366</v>
      </c>
    </row>
    <row r="42" spans="1:8" x14ac:dyDescent="0.4">
      <c r="A42">
        <v>32</v>
      </c>
      <c r="B42">
        <v>0.64960476741992701</v>
      </c>
      <c r="C42">
        <v>0.29479889409513099</v>
      </c>
      <c r="D42">
        <v>0.64966496649664895</v>
      </c>
      <c r="E42" s="1">
        <v>6.0199076721945099E-5</v>
      </c>
      <c r="F42">
        <f t="shared" si="2"/>
        <v>3.6239288381746321E-9</v>
      </c>
      <c r="G42">
        <v>12051072</v>
      </c>
      <c r="H42">
        <v>4064</v>
      </c>
    </row>
    <row r="43" spans="1:8" x14ac:dyDescent="0.4">
      <c r="A43">
        <v>45</v>
      </c>
      <c r="B43">
        <v>0.64960476741992701</v>
      </c>
      <c r="C43">
        <v>0.32379844386618201</v>
      </c>
      <c r="D43">
        <v>0.64916491649164898</v>
      </c>
      <c r="E43">
        <v>4.3985092827858398E-4</v>
      </c>
      <c r="F43">
        <f t="shared" si="2"/>
        <v>1.9346883910753202E-7</v>
      </c>
      <c r="G43">
        <v>29845260</v>
      </c>
      <c r="H43">
        <v>4815</v>
      </c>
    </row>
    <row r="44" spans="1:8" x14ac:dyDescent="0.4">
      <c r="A44">
        <v>64</v>
      </c>
      <c r="B44">
        <v>0.64960476741992701</v>
      </c>
      <c r="C44">
        <v>0.35375867291415802</v>
      </c>
      <c r="D44">
        <v>0.65016501650165004</v>
      </c>
      <c r="E44">
        <v>5.60249081722363E-4</v>
      </c>
      <c r="F44">
        <f t="shared" si="2"/>
        <v>3.1387903357075096E-7</v>
      </c>
      <c r="G44">
        <v>75728640</v>
      </c>
      <c r="H44">
        <v>5696</v>
      </c>
    </row>
    <row r="45" spans="1:8" x14ac:dyDescent="0.4">
      <c r="A45">
        <v>90</v>
      </c>
      <c r="B45">
        <v>0.64960476741992701</v>
      </c>
      <c r="C45">
        <v>0.38275822268520898</v>
      </c>
      <c r="D45">
        <v>0.64896489648964895</v>
      </c>
      <c r="E45">
        <v>6.3987093027884003E-4</v>
      </c>
      <c r="F45">
        <f t="shared" si="2"/>
        <v>4.0943480741590816E-7</v>
      </c>
      <c r="G45">
        <v>185945760</v>
      </c>
      <c r="H45">
        <v>6750</v>
      </c>
    </row>
    <row r="46" spans="1:8" x14ac:dyDescent="0.4">
      <c r="A46">
        <v>128</v>
      </c>
      <c r="B46">
        <v>0.64960476741992701</v>
      </c>
      <c r="C46">
        <v>0.412718451733184</v>
      </c>
      <c r="D46">
        <v>0.64956495649564905</v>
      </c>
      <c r="E46" s="1">
        <v>3.9810924278183002E-5</v>
      </c>
      <c r="F46">
        <f t="shared" si="2"/>
        <v>1.5849096918832207E-9</v>
      </c>
      <c r="G46">
        <v>470790144</v>
      </c>
      <c r="H46">
        <v>8064</v>
      </c>
    </row>
    <row r="47" spans="1:8" x14ac:dyDescent="0.4">
      <c r="A47">
        <v>8</v>
      </c>
      <c r="B47">
        <v>0.64960476741992701</v>
      </c>
      <c r="C47">
        <v>0.17687933645707901</v>
      </c>
      <c r="D47">
        <v>0.65026502650264995</v>
      </c>
      <c r="E47">
        <v>6.6025908272249103E-4</v>
      </c>
      <c r="F47">
        <f t="shared" si="2"/>
        <v>4.3594205631754526E-7</v>
      </c>
      <c r="G47">
        <v>320544</v>
      </c>
      <c r="H47">
        <v>2024</v>
      </c>
    </row>
    <row r="48" spans="1:8" x14ac:dyDescent="0.4">
      <c r="A48">
        <v>11</v>
      </c>
      <c r="B48">
        <v>0.64960476741992701</v>
      </c>
      <c r="C48">
        <v>0.20396732307440099</v>
      </c>
      <c r="D48">
        <v>0.649264926492649</v>
      </c>
      <c r="E48">
        <v>3.39840927278456E-4</v>
      </c>
      <c r="F48">
        <f t="shared" si="2"/>
        <v>1.1549185585348082E-7</v>
      </c>
      <c r="G48">
        <v>721512</v>
      </c>
      <c r="H48">
        <v>2365</v>
      </c>
    </row>
    <row r="49" spans="1:8" x14ac:dyDescent="0.4">
      <c r="A49">
        <v>16</v>
      </c>
      <c r="B49">
        <v>0.64960476741992701</v>
      </c>
      <c r="C49">
        <v>0.23583911527610499</v>
      </c>
      <c r="D49">
        <v>0.64956495649564905</v>
      </c>
      <c r="E49" s="1">
        <v>3.9810924278183002E-5</v>
      </c>
      <c r="F49">
        <f t="shared" si="2"/>
        <v>1.5849096918832207E-9</v>
      </c>
      <c r="G49">
        <v>1932288</v>
      </c>
      <c r="H49">
        <v>2864</v>
      </c>
    </row>
    <row r="50" spans="1:8" x14ac:dyDescent="0.4">
      <c r="A50">
        <v>22</v>
      </c>
      <c r="B50">
        <v>0.64960476741992701</v>
      </c>
      <c r="C50">
        <v>0.262927101893427</v>
      </c>
      <c r="D50">
        <v>0.649264926492649</v>
      </c>
      <c r="E50">
        <v>3.39840927278456E-4</v>
      </c>
      <c r="F50">
        <f t="shared" si="2"/>
        <v>1.1549185585348082E-7</v>
      </c>
      <c r="G50">
        <v>4468992</v>
      </c>
      <c r="H50">
        <v>3366</v>
      </c>
    </row>
    <row r="51" spans="1:8" x14ac:dyDescent="0.4">
      <c r="A51">
        <v>32</v>
      </c>
      <c r="B51">
        <v>0.64960476741992701</v>
      </c>
      <c r="C51">
        <v>0.29479889409513099</v>
      </c>
      <c r="D51">
        <v>0.64936493649364901</v>
      </c>
      <c r="E51">
        <v>2.39830926278439E-4</v>
      </c>
      <c r="F51">
        <f t="shared" si="2"/>
        <v>5.7518873199574041E-8</v>
      </c>
      <c r="G51">
        <v>12051072</v>
      </c>
      <c r="H51">
        <v>4064</v>
      </c>
    </row>
    <row r="52" spans="1:8" x14ac:dyDescent="0.4">
      <c r="A52">
        <v>45</v>
      </c>
      <c r="B52">
        <v>0.64960476741992701</v>
      </c>
      <c r="C52">
        <v>0.32379844386618201</v>
      </c>
      <c r="D52">
        <v>0.64996499649965001</v>
      </c>
      <c r="E52">
        <v>3.6022907972221803E-4</v>
      </c>
      <c r="F52">
        <f t="shared" si="2"/>
        <v>1.2976498987751611E-7</v>
      </c>
      <c r="G52">
        <v>29845260</v>
      </c>
      <c r="H52">
        <v>4815</v>
      </c>
    </row>
    <row r="53" spans="1:8" x14ac:dyDescent="0.4">
      <c r="A53">
        <v>64</v>
      </c>
      <c r="B53">
        <v>0.64960476741992701</v>
      </c>
      <c r="C53">
        <v>0.35375867291415802</v>
      </c>
      <c r="D53">
        <v>0.64896489648964895</v>
      </c>
      <c r="E53">
        <v>6.3987093027884003E-4</v>
      </c>
      <c r="F53">
        <f t="shared" si="2"/>
        <v>4.0943480741590816E-7</v>
      </c>
      <c r="G53">
        <v>75728640</v>
      </c>
      <c r="H53">
        <v>5696</v>
      </c>
    </row>
    <row r="54" spans="1:8" x14ac:dyDescent="0.4">
      <c r="A54">
        <v>90</v>
      </c>
      <c r="B54">
        <v>0.64960476741992701</v>
      </c>
      <c r="C54">
        <v>0.38275822268520898</v>
      </c>
      <c r="D54">
        <v>0.64936493649364901</v>
      </c>
      <c r="E54">
        <v>2.39830926278439E-4</v>
      </c>
      <c r="F54">
        <f t="shared" si="2"/>
        <v>5.7518873199574041E-8</v>
      </c>
      <c r="G54">
        <v>185945760</v>
      </c>
      <c r="H54">
        <v>6750</v>
      </c>
    </row>
    <row r="55" spans="1:8" x14ac:dyDescent="0.4">
      <c r="A55">
        <v>128</v>
      </c>
      <c r="B55">
        <v>0.64960476741992701</v>
      </c>
      <c r="C55">
        <v>0.412718451733184</v>
      </c>
      <c r="D55">
        <v>0.64946494649464903</v>
      </c>
      <c r="E55">
        <v>1.39820925278311E-4</v>
      </c>
      <c r="F55">
        <f t="shared" si="2"/>
        <v>1.9549891145683028E-8</v>
      </c>
      <c r="G55">
        <v>470790144</v>
      </c>
      <c r="H55">
        <v>8064</v>
      </c>
    </row>
    <row r="56" spans="1:8" x14ac:dyDescent="0.4">
      <c r="A56">
        <v>8</v>
      </c>
      <c r="B56">
        <v>0.64960476741992701</v>
      </c>
      <c r="C56">
        <v>0.17687933645707901</v>
      </c>
      <c r="D56">
        <v>0.64896489648964895</v>
      </c>
      <c r="E56">
        <v>6.3987093027884003E-4</v>
      </c>
      <c r="F56">
        <f t="shared" si="2"/>
        <v>4.0943480741590816E-7</v>
      </c>
      <c r="G56">
        <v>320544</v>
      </c>
      <c r="H56">
        <v>2024</v>
      </c>
    </row>
    <row r="57" spans="1:8" x14ac:dyDescent="0.4">
      <c r="A57">
        <v>11</v>
      </c>
      <c r="B57">
        <v>0.64960476741992701</v>
      </c>
      <c r="C57">
        <v>0.20396732307440099</v>
      </c>
      <c r="D57">
        <v>0.64986498649864899</v>
      </c>
      <c r="E57">
        <v>2.6021907872209E-4</v>
      </c>
      <c r="F57">
        <f t="shared" si="2"/>
        <v>6.7713968930973274E-8</v>
      </c>
      <c r="G57">
        <v>721512</v>
      </c>
      <c r="H57">
        <v>2365</v>
      </c>
    </row>
    <row r="58" spans="1:8" x14ac:dyDescent="0.4">
      <c r="A58">
        <v>16</v>
      </c>
      <c r="B58">
        <v>0.64960476741992701</v>
      </c>
      <c r="C58">
        <v>0.23583911527610499</v>
      </c>
      <c r="D58">
        <v>0.64936493649364901</v>
      </c>
      <c r="E58">
        <v>2.39830926278439E-4</v>
      </c>
      <c r="F58">
        <f t="shared" si="2"/>
        <v>5.7518873199574041E-8</v>
      </c>
      <c r="G58">
        <v>1932288</v>
      </c>
      <c r="H58">
        <v>2864</v>
      </c>
    </row>
    <row r="59" spans="1:8" x14ac:dyDescent="0.4">
      <c r="A59">
        <v>22</v>
      </c>
      <c r="B59">
        <v>0.64960476741992701</v>
      </c>
      <c r="C59">
        <v>0.262927101893427</v>
      </c>
      <c r="D59">
        <v>0.64946494649464903</v>
      </c>
      <c r="E59">
        <v>1.39820925278311E-4</v>
      </c>
      <c r="F59">
        <f t="shared" si="2"/>
        <v>1.9549891145683028E-8</v>
      </c>
      <c r="G59">
        <v>4468992</v>
      </c>
      <c r="H59">
        <v>3366</v>
      </c>
    </row>
    <row r="60" spans="1:8" x14ac:dyDescent="0.4">
      <c r="A60">
        <v>32</v>
      </c>
      <c r="B60">
        <v>0.64960476741992701</v>
      </c>
      <c r="C60">
        <v>0.29479889409513099</v>
      </c>
      <c r="D60">
        <v>0.64886488648864804</v>
      </c>
      <c r="E60">
        <v>7.3988093127885703E-4</v>
      </c>
      <c r="F60">
        <f t="shared" si="2"/>
        <v>5.4742379247006872E-7</v>
      </c>
      <c r="G60">
        <v>12051072</v>
      </c>
      <c r="H60">
        <v>4064</v>
      </c>
    </row>
    <row r="61" spans="1:8" x14ac:dyDescent="0.4">
      <c r="A61">
        <v>45</v>
      </c>
      <c r="B61">
        <v>0.64960476741992701</v>
      </c>
      <c r="C61">
        <v>0.32379844386618201</v>
      </c>
      <c r="D61">
        <v>0.64936493649364901</v>
      </c>
      <c r="E61">
        <v>2.39830926278439E-4</v>
      </c>
      <c r="F61">
        <f t="shared" si="2"/>
        <v>5.7518873199574041E-8</v>
      </c>
      <c r="G61">
        <v>29845260</v>
      </c>
      <c r="H61">
        <v>4815</v>
      </c>
    </row>
    <row r="62" spans="1:8" x14ac:dyDescent="0.4">
      <c r="A62">
        <v>64</v>
      </c>
      <c r="B62">
        <v>0.64960476741992701</v>
      </c>
      <c r="C62">
        <v>0.35375867291415802</v>
      </c>
      <c r="D62">
        <v>0.64996499649965001</v>
      </c>
      <c r="E62">
        <v>3.6022907972221803E-4</v>
      </c>
      <c r="F62">
        <f t="shared" si="2"/>
        <v>1.2976498987751611E-7</v>
      </c>
      <c r="G62">
        <v>75728640</v>
      </c>
      <c r="H62">
        <v>5696</v>
      </c>
    </row>
    <row r="63" spans="1:8" x14ac:dyDescent="0.4">
      <c r="A63">
        <v>90</v>
      </c>
      <c r="B63">
        <v>0.64960476741992701</v>
      </c>
      <c r="C63">
        <v>0.38275822268520898</v>
      </c>
      <c r="D63">
        <v>0.64946494649464903</v>
      </c>
      <c r="E63">
        <v>1.39820925278311E-4</v>
      </c>
      <c r="F63">
        <f t="shared" si="2"/>
        <v>1.9549891145683028E-8</v>
      </c>
      <c r="G63">
        <v>185945760</v>
      </c>
      <c r="H63">
        <v>6750</v>
      </c>
    </row>
    <row r="64" spans="1:8" x14ac:dyDescent="0.4">
      <c r="A64">
        <v>128</v>
      </c>
      <c r="B64">
        <v>0.64960476741992701</v>
      </c>
      <c r="C64">
        <v>0.412718451733184</v>
      </c>
      <c r="D64">
        <v>0.64976497649764897</v>
      </c>
      <c r="E64">
        <v>1.60209077721962E-4</v>
      </c>
      <c r="F64">
        <f t="shared" si="2"/>
        <v>2.5666948584521662E-8</v>
      </c>
      <c r="G64">
        <v>470790144</v>
      </c>
      <c r="H64">
        <v>8064</v>
      </c>
    </row>
    <row r="65" spans="1:8" x14ac:dyDescent="0.4">
      <c r="A65">
        <v>8</v>
      </c>
      <c r="B65">
        <v>0.64960476741992701</v>
      </c>
      <c r="C65">
        <v>0.17687933645707901</v>
      </c>
      <c r="D65">
        <v>0.64936493649364901</v>
      </c>
      <c r="E65">
        <v>2.39830926278439E-4</v>
      </c>
      <c r="F65">
        <f t="shared" si="2"/>
        <v>5.7518873199574041E-8</v>
      </c>
      <c r="G65">
        <v>320544</v>
      </c>
      <c r="H65">
        <v>2024</v>
      </c>
    </row>
    <row r="66" spans="1:8" x14ac:dyDescent="0.4">
      <c r="A66">
        <v>11</v>
      </c>
      <c r="B66">
        <v>0.64960476741992701</v>
      </c>
      <c r="C66">
        <v>0.20396732307440099</v>
      </c>
      <c r="D66">
        <v>0.64966496649664895</v>
      </c>
      <c r="E66" s="1">
        <v>6.0199076721945099E-5</v>
      </c>
      <c r="F66">
        <f t="shared" si="2"/>
        <v>3.6239288381746321E-9</v>
      </c>
      <c r="G66">
        <v>721512</v>
      </c>
      <c r="H66">
        <v>2365</v>
      </c>
    </row>
    <row r="67" spans="1:8" x14ac:dyDescent="0.4">
      <c r="A67">
        <v>16</v>
      </c>
      <c r="B67">
        <v>0.64960476741992701</v>
      </c>
      <c r="C67">
        <v>0.23583911527610499</v>
      </c>
      <c r="D67">
        <v>0.64986498649864899</v>
      </c>
      <c r="E67">
        <v>2.6021907872209E-4</v>
      </c>
      <c r="F67">
        <f t="shared" ref="F67:F91" si="4">E67*E67</f>
        <v>6.7713968930973274E-8</v>
      </c>
      <c r="G67">
        <v>1932288</v>
      </c>
      <c r="H67">
        <v>2864</v>
      </c>
    </row>
    <row r="68" spans="1:8" x14ac:dyDescent="0.4">
      <c r="A68">
        <v>22</v>
      </c>
      <c r="B68">
        <v>0.64960476741992701</v>
      </c>
      <c r="C68">
        <v>0.262927101893427</v>
      </c>
      <c r="D68">
        <v>0.64966496649664895</v>
      </c>
      <c r="E68" s="1">
        <v>6.0199076721945099E-5</v>
      </c>
      <c r="F68">
        <f t="shared" si="4"/>
        <v>3.6239288381746321E-9</v>
      </c>
      <c r="G68">
        <v>4468992</v>
      </c>
      <c r="H68">
        <v>3366</v>
      </c>
    </row>
    <row r="69" spans="1:8" x14ac:dyDescent="0.4">
      <c r="A69">
        <v>32</v>
      </c>
      <c r="B69">
        <v>0.64960476741992701</v>
      </c>
      <c r="C69">
        <v>0.29479889409513099</v>
      </c>
      <c r="D69">
        <v>0.64976497649764897</v>
      </c>
      <c r="E69">
        <v>1.60209077721962E-4</v>
      </c>
      <c r="F69">
        <f t="shared" si="4"/>
        <v>2.5666948584521662E-8</v>
      </c>
      <c r="G69">
        <v>12051072</v>
      </c>
      <c r="H69">
        <v>4064</v>
      </c>
    </row>
    <row r="70" spans="1:8" x14ac:dyDescent="0.4">
      <c r="A70">
        <v>45</v>
      </c>
      <c r="B70">
        <v>0.64960476741992701</v>
      </c>
      <c r="C70">
        <v>0.32379844386618201</v>
      </c>
      <c r="D70">
        <v>0.64966496649664895</v>
      </c>
      <c r="E70" s="1">
        <v>6.0199076721945099E-5</v>
      </c>
      <c r="F70">
        <f t="shared" si="4"/>
        <v>3.6239288381746321E-9</v>
      </c>
      <c r="G70">
        <v>29845260</v>
      </c>
      <c r="H70">
        <v>4815</v>
      </c>
    </row>
    <row r="71" spans="1:8" x14ac:dyDescent="0.4">
      <c r="A71">
        <v>64</v>
      </c>
      <c r="B71">
        <v>0.64960476741992701</v>
      </c>
      <c r="C71">
        <v>0.35375867291415802</v>
      </c>
      <c r="D71">
        <v>0.64916491649164898</v>
      </c>
      <c r="E71">
        <v>4.3985092827858398E-4</v>
      </c>
      <c r="F71">
        <f t="shared" si="4"/>
        <v>1.9346883910753202E-7</v>
      </c>
      <c r="G71">
        <v>75728640</v>
      </c>
      <c r="H71">
        <v>5696</v>
      </c>
    </row>
    <row r="72" spans="1:8" x14ac:dyDescent="0.4">
      <c r="A72">
        <v>90</v>
      </c>
      <c r="B72">
        <v>0.64960476741992701</v>
      </c>
      <c r="C72">
        <v>0.38275822268520898</v>
      </c>
      <c r="D72">
        <v>0.65006500650065002</v>
      </c>
      <c r="E72">
        <v>4.60239080722346E-4</v>
      </c>
      <c r="F72">
        <f t="shared" si="4"/>
        <v>2.1182001142415012E-7</v>
      </c>
      <c r="G72">
        <v>185945760</v>
      </c>
      <c r="H72">
        <v>6750</v>
      </c>
    </row>
    <row r="73" spans="1:8" x14ac:dyDescent="0.4">
      <c r="A73">
        <v>128</v>
      </c>
      <c r="B73">
        <v>0.64960476741992701</v>
      </c>
      <c r="C73">
        <v>0.412718451733184</v>
      </c>
      <c r="D73">
        <v>0.64916491649164898</v>
      </c>
      <c r="E73">
        <v>4.3985092827858398E-4</v>
      </c>
      <c r="F73">
        <f t="shared" si="4"/>
        <v>1.9346883910753202E-7</v>
      </c>
      <c r="G73">
        <v>470790144</v>
      </c>
      <c r="H73">
        <v>8064</v>
      </c>
    </row>
    <row r="74" spans="1:8" x14ac:dyDescent="0.4">
      <c r="A74">
        <v>8</v>
      </c>
      <c r="B74">
        <v>0.64960476741992701</v>
      </c>
      <c r="C74">
        <v>0.17687933645707901</v>
      </c>
      <c r="D74">
        <v>0.64996499649965001</v>
      </c>
      <c r="E74">
        <v>3.6022907972221803E-4</v>
      </c>
      <c r="F74">
        <f t="shared" si="4"/>
        <v>1.2976498987751611E-7</v>
      </c>
      <c r="G74">
        <v>320544</v>
      </c>
      <c r="H74">
        <v>2024</v>
      </c>
    </row>
    <row r="75" spans="1:8" x14ac:dyDescent="0.4">
      <c r="A75">
        <v>11</v>
      </c>
      <c r="B75">
        <v>0.64960476741992701</v>
      </c>
      <c r="C75">
        <v>0.20396732307440099</v>
      </c>
      <c r="D75">
        <v>0.64996499649965001</v>
      </c>
      <c r="E75">
        <v>3.6022907972221803E-4</v>
      </c>
      <c r="F75">
        <f t="shared" si="4"/>
        <v>1.2976498987751611E-7</v>
      </c>
      <c r="G75">
        <v>721512</v>
      </c>
      <c r="H75">
        <v>2365</v>
      </c>
    </row>
    <row r="76" spans="1:8" x14ac:dyDescent="0.4">
      <c r="A76">
        <v>16</v>
      </c>
      <c r="B76">
        <v>0.64960476741992701</v>
      </c>
      <c r="C76">
        <v>0.23583911527610499</v>
      </c>
      <c r="D76">
        <v>0.64956495649564905</v>
      </c>
      <c r="E76" s="1">
        <v>3.9810924278183002E-5</v>
      </c>
      <c r="F76">
        <f t="shared" si="4"/>
        <v>1.5849096918832207E-9</v>
      </c>
      <c r="G76">
        <v>1932288</v>
      </c>
      <c r="H76">
        <v>2864</v>
      </c>
    </row>
    <row r="77" spans="1:8" x14ac:dyDescent="0.4">
      <c r="A77">
        <v>22</v>
      </c>
      <c r="B77">
        <v>0.64960476741992701</v>
      </c>
      <c r="C77">
        <v>0.262927101893427</v>
      </c>
      <c r="D77">
        <v>0.65006500650065002</v>
      </c>
      <c r="E77">
        <v>4.60239080722346E-4</v>
      </c>
      <c r="F77">
        <f t="shared" si="4"/>
        <v>2.1182001142415012E-7</v>
      </c>
      <c r="G77">
        <v>4468992</v>
      </c>
      <c r="H77">
        <v>3366</v>
      </c>
    </row>
    <row r="78" spans="1:8" x14ac:dyDescent="0.4">
      <c r="A78">
        <v>32</v>
      </c>
      <c r="B78">
        <v>0.64960476741992701</v>
      </c>
      <c r="C78">
        <v>0.29479889409513099</v>
      </c>
      <c r="D78">
        <v>0.64936493649364901</v>
      </c>
      <c r="E78">
        <v>2.39830926278439E-4</v>
      </c>
      <c r="F78">
        <f t="shared" si="4"/>
        <v>5.7518873199574041E-8</v>
      </c>
      <c r="G78">
        <v>12051072</v>
      </c>
      <c r="H78">
        <v>4064</v>
      </c>
    </row>
    <row r="79" spans="1:8" x14ac:dyDescent="0.4">
      <c r="A79">
        <v>45</v>
      </c>
      <c r="B79">
        <v>0.64960476741992701</v>
      </c>
      <c r="C79">
        <v>0.32379844386618201</v>
      </c>
      <c r="D79">
        <v>0.64916491649164898</v>
      </c>
      <c r="E79">
        <v>4.3985092827858398E-4</v>
      </c>
      <c r="F79">
        <f t="shared" si="4"/>
        <v>1.9346883910753202E-7</v>
      </c>
      <c r="G79">
        <v>29845260</v>
      </c>
      <c r="H79">
        <v>4815</v>
      </c>
    </row>
    <row r="80" spans="1:8" x14ac:dyDescent="0.4">
      <c r="A80">
        <v>64</v>
      </c>
      <c r="B80">
        <v>0.64960476741992701</v>
      </c>
      <c r="C80">
        <v>0.35375867291415802</v>
      </c>
      <c r="D80">
        <v>0.64936493649364901</v>
      </c>
      <c r="E80">
        <v>2.39830926278439E-4</v>
      </c>
      <c r="F80">
        <f t="shared" si="4"/>
        <v>5.7518873199574041E-8</v>
      </c>
      <c r="G80">
        <v>75728640</v>
      </c>
      <c r="H80">
        <v>5696</v>
      </c>
    </row>
    <row r="81" spans="1:8" x14ac:dyDescent="0.4">
      <c r="A81">
        <v>90</v>
      </c>
      <c r="B81">
        <v>0.64960476741992701</v>
      </c>
      <c r="C81">
        <v>0.38275822268520898</v>
      </c>
      <c r="D81">
        <v>0.64966496649664895</v>
      </c>
      <c r="E81" s="1">
        <v>6.0199076721945099E-5</v>
      </c>
      <c r="F81">
        <f t="shared" si="4"/>
        <v>3.6239288381746321E-9</v>
      </c>
      <c r="G81">
        <v>185945760</v>
      </c>
      <c r="H81">
        <v>6750</v>
      </c>
    </row>
    <row r="82" spans="1:8" x14ac:dyDescent="0.4">
      <c r="A82">
        <v>128</v>
      </c>
      <c r="B82">
        <v>0.64960476741992701</v>
      </c>
      <c r="C82">
        <v>0.412718451733184</v>
      </c>
      <c r="D82">
        <v>0.64996499649965001</v>
      </c>
      <c r="E82">
        <v>3.6022907972221803E-4</v>
      </c>
      <c r="F82">
        <f t="shared" si="4"/>
        <v>1.2976498987751611E-7</v>
      </c>
      <c r="G82">
        <v>470790144</v>
      </c>
      <c r="H82">
        <v>8064</v>
      </c>
    </row>
    <row r="83" spans="1:8" x14ac:dyDescent="0.4">
      <c r="A83">
        <v>8</v>
      </c>
      <c r="B83">
        <v>0.64960476741992701</v>
      </c>
      <c r="C83">
        <v>0.17687933645707901</v>
      </c>
      <c r="D83">
        <v>0.64996499649965001</v>
      </c>
      <c r="E83">
        <v>3.6022907972221803E-4</v>
      </c>
      <c r="F83">
        <f t="shared" si="4"/>
        <v>1.2976498987751611E-7</v>
      </c>
      <c r="G83">
        <v>320544</v>
      </c>
      <c r="H83">
        <v>2024</v>
      </c>
    </row>
    <row r="84" spans="1:8" x14ac:dyDescent="0.4">
      <c r="A84">
        <v>11</v>
      </c>
      <c r="B84">
        <v>0.64960476741992701</v>
      </c>
      <c r="C84">
        <v>0.20396732307440099</v>
      </c>
      <c r="D84">
        <v>0.64936493649364901</v>
      </c>
      <c r="E84">
        <v>2.39830926278439E-4</v>
      </c>
      <c r="F84">
        <f t="shared" si="4"/>
        <v>5.7518873199574041E-8</v>
      </c>
      <c r="G84">
        <v>721512</v>
      </c>
      <c r="H84">
        <v>2365</v>
      </c>
    </row>
    <row r="85" spans="1:8" x14ac:dyDescent="0.4">
      <c r="A85">
        <v>16</v>
      </c>
      <c r="B85">
        <v>0.64960476741992701</v>
      </c>
      <c r="C85">
        <v>0.23583911527610499</v>
      </c>
      <c r="D85">
        <v>0.64956495649564905</v>
      </c>
      <c r="E85" s="1">
        <v>3.9810924278183002E-5</v>
      </c>
      <c r="F85">
        <f t="shared" si="4"/>
        <v>1.5849096918832207E-9</v>
      </c>
      <c r="G85">
        <v>1932288</v>
      </c>
      <c r="H85">
        <v>2864</v>
      </c>
    </row>
    <row r="86" spans="1:8" x14ac:dyDescent="0.4">
      <c r="A86">
        <v>22</v>
      </c>
      <c r="B86">
        <v>0.64960476741992701</v>
      </c>
      <c r="C86">
        <v>0.262927101893427</v>
      </c>
      <c r="D86">
        <v>0.64986498649864899</v>
      </c>
      <c r="E86">
        <v>2.6021907872209E-4</v>
      </c>
      <c r="F86">
        <f t="shared" si="4"/>
        <v>6.7713968930973274E-8</v>
      </c>
      <c r="G86">
        <v>4468992</v>
      </c>
      <c r="H86">
        <v>3366</v>
      </c>
    </row>
    <row r="87" spans="1:8" x14ac:dyDescent="0.4">
      <c r="A87">
        <v>32</v>
      </c>
      <c r="B87">
        <v>0.64960476741992701</v>
      </c>
      <c r="C87">
        <v>0.29479889409513099</v>
      </c>
      <c r="D87">
        <v>0.64936493649364901</v>
      </c>
      <c r="E87">
        <v>2.39830926278439E-4</v>
      </c>
      <c r="F87">
        <f t="shared" si="4"/>
        <v>5.7518873199574041E-8</v>
      </c>
      <c r="G87">
        <v>12051072</v>
      </c>
      <c r="H87">
        <v>4064</v>
      </c>
    </row>
    <row r="88" spans="1:8" x14ac:dyDescent="0.4">
      <c r="A88">
        <v>45</v>
      </c>
      <c r="B88">
        <v>0.64960476741992701</v>
      </c>
      <c r="C88">
        <v>0.32379844386618201</v>
      </c>
      <c r="D88">
        <v>0.64896489648964895</v>
      </c>
      <c r="E88">
        <v>6.3987093027884003E-4</v>
      </c>
      <c r="F88">
        <f t="shared" si="4"/>
        <v>4.0943480741590816E-7</v>
      </c>
      <c r="G88">
        <v>29845260</v>
      </c>
      <c r="H88">
        <v>4815</v>
      </c>
    </row>
    <row r="89" spans="1:8" x14ac:dyDescent="0.4">
      <c r="A89">
        <v>64</v>
      </c>
      <c r="B89">
        <v>0.64960476741992701</v>
      </c>
      <c r="C89">
        <v>0.35375867291415802</v>
      </c>
      <c r="D89">
        <v>0.64976497649764897</v>
      </c>
      <c r="E89">
        <v>1.60209077721962E-4</v>
      </c>
      <c r="F89">
        <f t="shared" si="4"/>
        <v>2.5666948584521662E-8</v>
      </c>
      <c r="G89">
        <v>75728640</v>
      </c>
      <c r="H89">
        <v>5696</v>
      </c>
    </row>
    <row r="90" spans="1:8" x14ac:dyDescent="0.4">
      <c r="A90">
        <v>90</v>
      </c>
      <c r="B90">
        <v>0.64960476741992701</v>
      </c>
      <c r="C90">
        <v>0.38275822268520898</v>
      </c>
      <c r="D90">
        <v>0.65026502650264995</v>
      </c>
      <c r="E90">
        <v>6.6025908272249103E-4</v>
      </c>
      <c r="F90">
        <f t="shared" si="4"/>
        <v>4.3594205631754526E-7</v>
      </c>
      <c r="G90">
        <v>185945760</v>
      </c>
      <c r="H90">
        <v>6750</v>
      </c>
    </row>
    <row r="91" spans="1:8" x14ac:dyDescent="0.4">
      <c r="A91">
        <v>128</v>
      </c>
      <c r="B91">
        <v>0.64960476741992701</v>
      </c>
      <c r="C91">
        <v>0.412718451733184</v>
      </c>
      <c r="D91">
        <v>0.64966496649664895</v>
      </c>
      <c r="E91" s="1">
        <v>6.0199076721945099E-5</v>
      </c>
      <c r="F91">
        <f t="shared" si="4"/>
        <v>3.6239288381746321E-9</v>
      </c>
      <c r="G91">
        <v>470790144</v>
      </c>
      <c r="H91">
        <v>8064</v>
      </c>
    </row>
    <row r="93" spans="1:8" x14ac:dyDescent="0.4">
      <c r="E93" s="1"/>
    </row>
    <row r="94" spans="1:8" x14ac:dyDescent="0.4">
      <c r="E94" s="1"/>
    </row>
    <row r="99" spans="5:5" x14ac:dyDescent="0.4">
      <c r="E99" s="1"/>
    </row>
    <row r="103" spans="5:5" x14ac:dyDescent="0.4">
      <c r="E103" s="1"/>
    </row>
    <row r="106" spans="5:5" x14ac:dyDescent="0.4">
      <c r="E106" s="1"/>
    </row>
    <row r="107" spans="5:5" x14ac:dyDescent="0.4">
      <c r="E107" s="1"/>
    </row>
    <row r="112" spans="5:5" x14ac:dyDescent="0.4">
      <c r="E112" s="1"/>
    </row>
    <row r="121" spans="5:5" x14ac:dyDescent="0.4">
      <c r="E121" s="1"/>
    </row>
    <row r="133" spans="5:5" x14ac:dyDescent="0.4">
      <c r="E133" s="1"/>
    </row>
    <row r="134" spans="5:5" x14ac:dyDescent="0.4">
      <c r="E134" s="1"/>
    </row>
    <row r="137" spans="5:5" x14ac:dyDescent="0.4">
      <c r="E137" s="1"/>
    </row>
    <row r="139" spans="5:5" x14ac:dyDescent="0.4">
      <c r="E139" s="1"/>
    </row>
    <row r="145" spans="5:5" x14ac:dyDescent="0.4">
      <c r="E145" s="1"/>
    </row>
    <row r="151" spans="5:5" x14ac:dyDescent="0.4">
      <c r="E151" s="1"/>
    </row>
    <row r="152" spans="5:5" x14ac:dyDescent="0.4">
      <c r="E152" s="1"/>
    </row>
    <row r="155" spans="5:5" x14ac:dyDescent="0.4">
      <c r="E155" s="1"/>
    </row>
    <row r="157" spans="5:5" x14ac:dyDescent="0.4">
      <c r="E157" s="1"/>
    </row>
    <row r="159" spans="5:5" x14ac:dyDescent="0.4">
      <c r="E159" s="1"/>
    </row>
    <row r="167" spans="5:5" x14ac:dyDescent="0.4">
      <c r="E167" s="1"/>
    </row>
    <row r="179" spans="5:5" x14ac:dyDescent="0.4">
      <c r="E179" s="1"/>
    </row>
    <row r="180" spans="5:5" x14ac:dyDescent="0.4">
      <c r="E180" s="1"/>
    </row>
    <row r="182" spans="5:5" x14ac:dyDescent="0.4">
      <c r="E182" s="1"/>
    </row>
    <row r="185" spans="5:5" x14ac:dyDescent="0.4">
      <c r="E185" s="1"/>
    </row>
    <row r="203" spans="5:5" x14ac:dyDescent="0.4">
      <c r="E203" s="1"/>
    </row>
    <row r="207" spans="5:5" x14ac:dyDescent="0.4">
      <c r="E207" s="1"/>
    </row>
    <row r="210" spans="5:5" x14ac:dyDescent="0.4">
      <c r="E210" s="1"/>
    </row>
    <row r="215" spans="5:5" x14ac:dyDescent="0.4">
      <c r="E215" s="1"/>
    </row>
    <row r="221" spans="5:5" x14ac:dyDescent="0.4">
      <c r="E221" s="1"/>
    </row>
    <row r="222" spans="5:5" x14ac:dyDescent="0.4">
      <c r="E222" s="1"/>
    </row>
    <row r="233" spans="5:5" x14ac:dyDescent="0.4">
      <c r="E233" s="1"/>
    </row>
    <row r="252" spans="5:5" x14ac:dyDescent="0.4">
      <c r="E252" s="1"/>
    </row>
    <row r="253" spans="5:5" x14ac:dyDescent="0.4">
      <c r="E253" s="1"/>
    </row>
    <row r="256" spans="5:5" x14ac:dyDescent="0.4">
      <c r="E256" s="1"/>
    </row>
    <row r="257" spans="5:5" x14ac:dyDescent="0.4">
      <c r="E257" s="1"/>
    </row>
    <row r="261" spans="5:5" x14ac:dyDescent="0.4">
      <c r="E261" s="1"/>
    </row>
    <row r="265" spans="5:5" x14ac:dyDescent="0.4">
      <c r="E265" s="1"/>
    </row>
    <row r="266" spans="5:5" x14ac:dyDescent="0.4">
      <c r="E266" s="1"/>
    </row>
    <row r="268" spans="5:5" x14ac:dyDescent="0.4">
      <c r="E268" s="1"/>
    </row>
    <row r="270" spans="5:5" x14ac:dyDescent="0.4">
      <c r="E270" s="1"/>
    </row>
    <row r="272" spans="5:5" x14ac:dyDescent="0.4">
      <c r="E272" s="1"/>
    </row>
    <row r="276" spans="5:5" x14ac:dyDescent="0.4">
      <c r="E276" s="1"/>
    </row>
    <row r="277" spans="5:5" x14ac:dyDescent="0.4">
      <c r="E277" s="1"/>
    </row>
    <row r="280" spans="5:5" x14ac:dyDescent="0.4">
      <c r="E280" s="1"/>
    </row>
    <row r="281" spans="5:5" x14ac:dyDescent="0.4">
      <c r="E281" s="1"/>
    </row>
    <row r="283" spans="5:5" x14ac:dyDescent="0.4">
      <c r="E283" s="1"/>
    </row>
    <row r="285" spans="5:5" x14ac:dyDescent="0.4">
      <c r="E285" s="1"/>
    </row>
    <row r="305" spans="5:5" x14ac:dyDescent="0.4">
      <c r="E305" s="1"/>
    </row>
    <row r="307" spans="5:5" x14ac:dyDescent="0.4">
      <c r="E307" s="1"/>
    </row>
    <row r="311" spans="5:5" x14ac:dyDescent="0.4">
      <c r="E311" s="1"/>
    </row>
    <row r="313" spans="5:5" x14ac:dyDescent="0.4">
      <c r="E313" s="1"/>
    </row>
    <row r="316" spans="5:5" x14ac:dyDescent="0.4">
      <c r="E316" s="1"/>
    </row>
    <row r="318" spans="5:5" x14ac:dyDescent="0.4">
      <c r="E318" s="1"/>
    </row>
    <row r="321" spans="5:5" x14ac:dyDescent="0.4">
      <c r="E321" s="1"/>
    </row>
    <row r="323" spans="5:5" x14ac:dyDescent="0.4">
      <c r="E323" s="1"/>
    </row>
    <row r="324" spans="5:5" x14ac:dyDescent="0.4">
      <c r="E324" s="1"/>
    </row>
    <row r="327" spans="5:5" x14ac:dyDescent="0.4">
      <c r="E327" s="1"/>
    </row>
    <row r="330" spans="5:5" x14ac:dyDescent="0.4">
      <c r="E330" s="1"/>
    </row>
    <row r="332" spans="5:5" x14ac:dyDescent="0.4">
      <c r="E332" s="1"/>
    </row>
    <row r="334" spans="5:5" x14ac:dyDescent="0.4">
      <c r="E334" s="1"/>
    </row>
    <row r="344" spans="5:5" x14ac:dyDescent="0.4">
      <c r="E344" s="1"/>
    </row>
    <row r="358" spans="5:5" x14ac:dyDescent="0.4">
      <c r="E358" s="1"/>
    </row>
    <row r="363" spans="5:5" x14ac:dyDescent="0.4">
      <c r="E363" s="1"/>
    </row>
    <row r="365" spans="5:5" x14ac:dyDescent="0.4">
      <c r="E365" s="1"/>
    </row>
    <row r="372" spans="5:5" x14ac:dyDescent="0.4">
      <c r="E372" s="1"/>
    </row>
    <row r="375" spans="5:5" x14ac:dyDescent="0.4">
      <c r="E375" s="1"/>
    </row>
    <row r="379" spans="5:5" x14ac:dyDescent="0.4">
      <c r="E379" s="1"/>
    </row>
    <row r="380" spans="5:5" x14ac:dyDescent="0.4">
      <c r="E380" s="1"/>
    </row>
    <row r="382" spans="5:5" x14ac:dyDescent="0.4">
      <c r="E382" s="1"/>
    </row>
    <row r="384" spans="5:5" x14ac:dyDescent="0.4">
      <c r="E384" s="1"/>
    </row>
    <row r="385" spans="5:5" x14ac:dyDescent="0.4">
      <c r="E385" s="1"/>
    </row>
    <row r="386" spans="5:5" x14ac:dyDescent="0.4">
      <c r="E386" s="1"/>
    </row>
    <row r="389" spans="5:5" x14ac:dyDescent="0.4">
      <c r="E389" s="1"/>
    </row>
    <row r="391" spans="5:5" x14ac:dyDescent="0.4">
      <c r="E391" s="1"/>
    </row>
    <row r="392" spans="5:5" x14ac:dyDescent="0.4">
      <c r="E392" s="1"/>
    </row>
    <row r="397" spans="5:5" x14ac:dyDescent="0.4">
      <c r="E397" s="1"/>
    </row>
    <row r="398" spans="5:5" x14ac:dyDescent="0.4">
      <c r="E398" s="1"/>
    </row>
    <row r="399" spans="5:5" x14ac:dyDescent="0.4">
      <c r="E399" s="1"/>
    </row>
    <row r="402" spans="5:5" x14ac:dyDescent="0.4">
      <c r="E402" s="1"/>
    </row>
    <row r="405" spans="5:5" x14ac:dyDescent="0.4">
      <c r="E405" s="1"/>
    </row>
    <row r="406" spans="5:5" x14ac:dyDescent="0.4">
      <c r="E406" s="1"/>
    </row>
    <row r="414" spans="5:5" x14ac:dyDescent="0.4">
      <c r="E414" s="1"/>
    </row>
    <row r="415" spans="5:5" x14ac:dyDescent="0.4">
      <c r="E415" s="1"/>
    </row>
    <row r="417" spans="5:5" x14ac:dyDescent="0.4">
      <c r="E417" s="1"/>
    </row>
    <row r="421" spans="5:5" x14ac:dyDescent="0.4">
      <c r="E421" s="1"/>
    </row>
    <row r="425" spans="5:5" x14ac:dyDescent="0.4">
      <c r="E425" s="1"/>
    </row>
    <row r="427" spans="5:5" x14ac:dyDescent="0.4">
      <c r="E427" s="1"/>
    </row>
    <row r="435" spans="5:5" x14ac:dyDescent="0.4">
      <c r="E435" s="1"/>
    </row>
    <row r="437" spans="5:5" x14ac:dyDescent="0.4">
      <c r="E437" s="1"/>
    </row>
    <row r="440" spans="5:5" x14ac:dyDescent="0.4">
      <c r="E440" s="1"/>
    </row>
    <row r="442" spans="5:5" x14ac:dyDescent="0.4">
      <c r="E442" s="1"/>
    </row>
    <row r="446" spans="5:5" x14ac:dyDescent="0.4">
      <c r="E446" s="1"/>
    </row>
    <row r="447" spans="5:5" x14ac:dyDescent="0.4">
      <c r="E447" s="1"/>
    </row>
    <row r="452" spans="5:5" x14ac:dyDescent="0.4">
      <c r="E452" s="1"/>
    </row>
    <row r="454" spans="5:5" x14ac:dyDescent="0.4">
      <c r="E454" s="1"/>
    </row>
    <row r="455" spans="5:5" x14ac:dyDescent="0.4">
      <c r="E455" s="1"/>
    </row>
    <row r="457" spans="5:5" x14ac:dyDescent="0.4">
      <c r="E457" s="1"/>
    </row>
    <row r="462" spans="5:5" x14ac:dyDescent="0.4">
      <c r="E462" s="1"/>
    </row>
    <row r="463" spans="5:5" x14ac:dyDescent="0.4">
      <c r="E463" s="1"/>
    </row>
    <row r="466" spans="5:5" x14ac:dyDescent="0.4">
      <c r="E466" s="1"/>
    </row>
    <row r="467" spans="5:5" x14ac:dyDescent="0.4">
      <c r="E467" s="1"/>
    </row>
    <row r="468" spans="5:5" x14ac:dyDescent="0.4">
      <c r="E468" s="1"/>
    </row>
    <row r="469" spans="5:5" x14ac:dyDescent="0.4">
      <c r="E469" s="1"/>
    </row>
    <row r="471" spans="5:5" x14ac:dyDescent="0.4">
      <c r="E471" s="1"/>
    </row>
    <row r="476" spans="5:5" x14ac:dyDescent="0.4">
      <c r="E476" s="1"/>
    </row>
    <row r="478" spans="5:5" x14ac:dyDescent="0.4">
      <c r="E478" s="1"/>
    </row>
    <row r="486" spans="5:5" x14ac:dyDescent="0.4">
      <c r="E486" s="1"/>
    </row>
    <row r="490" spans="5:5" x14ac:dyDescent="0.4">
      <c r="E490" s="1"/>
    </row>
    <row r="497" spans="5:5" x14ac:dyDescent="0.4">
      <c r="E497" s="1"/>
    </row>
    <row r="503" spans="5:5" x14ac:dyDescent="0.4">
      <c r="E503" s="1"/>
    </row>
    <row r="504" spans="5:5" x14ac:dyDescent="0.4">
      <c r="E504" s="1"/>
    </row>
    <row r="508" spans="5:5" x14ac:dyDescent="0.4">
      <c r="E508" s="1"/>
    </row>
    <row r="509" spans="5:5" x14ac:dyDescent="0.4">
      <c r="E509" s="1"/>
    </row>
    <row r="528" spans="5:5" x14ac:dyDescent="0.4">
      <c r="E528" s="1"/>
    </row>
    <row r="531" spans="5:5" x14ac:dyDescent="0.4">
      <c r="E531" s="1"/>
    </row>
    <row r="532" spans="5:5" x14ac:dyDescent="0.4">
      <c r="E532" s="1"/>
    </row>
    <row r="540" spans="5:5" x14ac:dyDescent="0.4">
      <c r="E540" s="1"/>
    </row>
    <row r="543" spans="5:5" x14ac:dyDescent="0.4">
      <c r="E543" s="1"/>
    </row>
    <row r="547" spans="5:5" x14ac:dyDescent="0.4">
      <c r="E547" s="1"/>
    </row>
    <row r="552" spans="5:5" x14ac:dyDescent="0.4">
      <c r="E552" s="1"/>
    </row>
    <row r="561" spans="5:5" x14ac:dyDescent="0.4">
      <c r="E561" s="1"/>
    </row>
    <row r="565" spans="5:5" x14ac:dyDescent="0.4">
      <c r="E565" s="1"/>
    </row>
    <row r="566" spans="5:5" x14ac:dyDescent="0.4">
      <c r="E566" s="1"/>
    </row>
    <row r="569" spans="5:5" x14ac:dyDescent="0.4">
      <c r="E569" s="1"/>
    </row>
    <row r="575" spans="5:5" x14ac:dyDescent="0.4">
      <c r="E575" s="1"/>
    </row>
    <row r="576" spans="5:5" x14ac:dyDescent="0.4">
      <c r="E576" s="1"/>
    </row>
    <row r="581" spans="5:5" x14ac:dyDescent="0.4">
      <c r="E581" s="1"/>
    </row>
    <row r="583" spans="5:5" x14ac:dyDescent="0.4">
      <c r="E583" s="1"/>
    </row>
    <row r="594" spans="5:5" x14ac:dyDescent="0.4">
      <c r="E594" s="1"/>
    </row>
    <row r="595" spans="5:5" x14ac:dyDescent="0.4">
      <c r="E595" s="1"/>
    </row>
    <row r="596" spans="5:5" x14ac:dyDescent="0.4">
      <c r="E596" s="1"/>
    </row>
    <row r="597" spans="5:5" x14ac:dyDescent="0.4">
      <c r="E597" s="1"/>
    </row>
    <row r="605" spans="5:5" x14ac:dyDescent="0.4">
      <c r="E605" s="1"/>
    </row>
    <row r="608" spans="5:5" x14ac:dyDescent="0.4">
      <c r="E608" s="1"/>
    </row>
    <row r="615" spans="5:5" x14ac:dyDescent="0.4">
      <c r="E615" s="1"/>
    </row>
    <row r="619" spans="5:5" x14ac:dyDescent="0.4">
      <c r="E619" s="1"/>
    </row>
    <row r="621" spans="5:5" x14ac:dyDescent="0.4">
      <c r="E621" s="1"/>
    </row>
    <row r="636" spans="5:5" x14ac:dyDescent="0.4">
      <c r="E636" s="1"/>
    </row>
    <row r="637" spans="5:5" x14ac:dyDescent="0.4">
      <c r="E637" s="1"/>
    </row>
    <row r="644" spans="5:5" x14ac:dyDescent="0.4">
      <c r="E644" s="1"/>
    </row>
    <row r="645" spans="5:5" x14ac:dyDescent="0.4">
      <c r="E645" s="1"/>
    </row>
    <row r="646" spans="5:5" x14ac:dyDescent="0.4">
      <c r="E646" s="1"/>
    </row>
    <row r="650" spans="5:5" x14ac:dyDescent="0.4">
      <c r="E650" s="1"/>
    </row>
    <row r="651" spans="5:5" x14ac:dyDescent="0.4">
      <c r="E651" s="1"/>
    </row>
    <row r="653" spans="5:5" x14ac:dyDescent="0.4">
      <c r="E653" s="1"/>
    </row>
    <row r="654" spans="5:5" x14ac:dyDescent="0.4">
      <c r="E654" s="1"/>
    </row>
    <row r="659" spans="5:5" x14ac:dyDescent="0.4">
      <c r="E659" s="1"/>
    </row>
    <row r="660" spans="5:5" x14ac:dyDescent="0.4">
      <c r="E660" s="1"/>
    </row>
    <row r="663" spans="5:5" x14ac:dyDescent="0.4">
      <c r="E663" s="1"/>
    </row>
    <row r="665" spans="5:5" x14ac:dyDescent="0.4">
      <c r="E665" s="1"/>
    </row>
    <row r="690" spans="5:5" x14ac:dyDescent="0.4">
      <c r="E690" s="1"/>
    </row>
    <row r="692" spans="5:5" x14ac:dyDescent="0.4">
      <c r="E692" s="1"/>
    </row>
    <row r="699" spans="5:5" x14ac:dyDescent="0.4">
      <c r="E699" s="1"/>
    </row>
    <row r="701" spans="5:5" x14ac:dyDescent="0.4">
      <c r="E701" s="1"/>
    </row>
    <row r="702" spans="5:5" x14ac:dyDescent="0.4">
      <c r="E702" s="1"/>
    </row>
    <row r="704" spans="5:5" x14ac:dyDescent="0.4">
      <c r="E704" s="1"/>
    </row>
    <row r="705" spans="5:5" x14ac:dyDescent="0.4">
      <c r="E705" s="1"/>
    </row>
    <row r="706" spans="5:5" x14ac:dyDescent="0.4">
      <c r="E706" s="1"/>
    </row>
    <row r="708" spans="5:5" x14ac:dyDescent="0.4">
      <c r="E708" s="1"/>
    </row>
    <row r="709" spans="5:5" x14ac:dyDescent="0.4">
      <c r="E709" s="1"/>
    </row>
    <row r="713" spans="5:5" x14ac:dyDescent="0.4">
      <c r="E713" s="1"/>
    </row>
    <row r="719" spans="5:5" x14ac:dyDescent="0.4">
      <c r="E719" s="1"/>
    </row>
    <row r="722" spans="5:5" x14ac:dyDescent="0.4">
      <c r="E722" s="1"/>
    </row>
    <row r="723" spans="5:5" x14ac:dyDescent="0.4">
      <c r="E723" s="1"/>
    </row>
    <row r="724" spans="5:5" x14ac:dyDescent="0.4">
      <c r="E724" s="1"/>
    </row>
    <row r="726" spans="5:5" x14ac:dyDescent="0.4">
      <c r="E726" s="1"/>
    </row>
    <row r="737" spans="5:5" x14ac:dyDescent="0.4">
      <c r="E737" s="1"/>
    </row>
    <row r="746" spans="5:5" x14ac:dyDescent="0.4">
      <c r="E746" s="1"/>
    </row>
    <row r="747" spans="5:5" x14ac:dyDescent="0.4">
      <c r="E747" s="1"/>
    </row>
    <row r="752" spans="5:5" x14ac:dyDescent="0.4">
      <c r="E752" s="1"/>
    </row>
    <row r="754" spans="5:5" x14ac:dyDescent="0.4">
      <c r="E754" s="1"/>
    </row>
    <row r="761" spans="5:5" x14ac:dyDescent="0.4">
      <c r="E761" s="1"/>
    </row>
    <row r="770" spans="5:5" x14ac:dyDescent="0.4">
      <c r="E770" s="1"/>
    </row>
    <row r="776" spans="5:5" x14ac:dyDescent="0.4">
      <c r="E776" s="1"/>
    </row>
    <row r="780" spans="5:5" x14ac:dyDescent="0.4">
      <c r="E780" s="1"/>
    </row>
    <row r="781" spans="5:5" x14ac:dyDescent="0.4">
      <c r="E781" s="1"/>
    </row>
    <row r="782" spans="5:5" x14ac:dyDescent="0.4">
      <c r="E782" s="1"/>
    </row>
    <row r="783" spans="5:5" x14ac:dyDescent="0.4">
      <c r="E783" s="1"/>
    </row>
    <row r="789" spans="5:5" x14ac:dyDescent="0.4">
      <c r="E789" s="1"/>
    </row>
    <row r="796" spans="5:5" x14ac:dyDescent="0.4">
      <c r="E796" s="1"/>
    </row>
    <row r="798" spans="5:5" x14ac:dyDescent="0.4">
      <c r="E798" s="1"/>
    </row>
    <row r="803" spans="5:5" x14ac:dyDescent="0.4">
      <c r="E803" s="1"/>
    </row>
    <row r="804" spans="5:5" x14ac:dyDescent="0.4">
      <c r="E804" s="1"/>
    </row>
    <row r="806" spans="5:5" x14ac:dyDescent="0.4">
      <c r="E806" s="1"/>
    </row>
    <row r="807" spans="5:5" x14ac:dyDescent="0.4">
      <c r="E807" s="1"/>
    </row>
    <row r="809" spans="5:5" x14ac:dyDescent="0.4">
      <c r="E809" s="1"/>
    </row>
    <row r="829" spans="5:5" x14ac:dyDescent="0.4">
      <c r="E829" s="1"/>
    </row>
    <row r="834" spans="5:5" x14ac:dyDescent="0.4">
      <c r="E834" s="1"/>
    </row>
    <row r="835" spans="5:5" x14ac:dyDescent="0.4">
      <c r="E835" s="1"/>
    </row>
    <row r="839" spans="5:5" x14ac:dyDescent="0.4">
      <c r="E839" s="1"/>
    </row>
    <row r="848" spans="5:5" x14ac:dyDescent="0.4">
      <c r="E848" s="1"/>
    </row>
    <row r="850" spans="5:5" x14ac:dyDescent="0.4">
      <c r="E850" s="1"/>
    </row>
    <row r="851" spans="5:5" x14ac:dyDescent="0.4">
      <c r="E851" s="1"/>
    </row>
    <row r="854" spans="5:5" x14ac:dyDescent="0.4">
      <c r="E854" s="1"/>
    </row>
    <row r="855" spans="5:5" x14ac:dyDescent="0.4">
      <c r="E855" s="1"/>
    </row>
    <row r="859" spans="5:5" x14ac:dyDescent="0.4">
      <c r="E859" s="1"/>
    </row>
    <row r="862" spans="5:5" x14ac:dyDescent="0.4">
      <c r="E862" s="1"/>
    </row>
    <row r="863" spans="5:5" x14ac:dyDescent="0.4">
      <c r="E863" s="1"/>
    </row>
    <row r="875" spans="5:5" x14ac:dyDescent="0.4">
      <c r="E875" s="1"/>
    </row>
    <row r="878" spans="5:5" x14ac:dyDescent="0.4">
      <c r="E878" s="1"/>
    </row>
    <row r="880" spans="5:5" x14ac:dyDescent="0.4">
      <c r="E880" s="1"/>
    </row>
    <row r="884" spans="5:5" x14ac:dyDescent="0.4">
      <c r="E884" s="1"/>
    </row>
    <row r="885" spans="5:5" x14ac:dyDescent="0.4">
      <c r="E885" s="1"/>
    </row>
    <row r="898" spans="5:5" x14ac:dyDescent="0.4">
      <c r="E898" s="1"/>
    </row>
    <row r="899" spans="5:5" x14ac:dyDescent="0.4">
      <c r="E899" s="1"/>
    </row>
  </sheetData>
  <phoneticPr fontId="18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RBM_LowDepthQAE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宮本　幸一</cp:lastModifiedBy>
  <dcterms:created xsi:type="dcterms:W3CDTF">2025-01-28T06:53:23Z</dcterms:created>
  <dcterms:modified xsi:type="dcterms:W3CDTF">2025-02-20T08:38:30Z</dcterms:modified>
</cp:coreProperties>
</file>